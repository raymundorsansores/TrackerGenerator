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yrodriguez7\eclipse-workspace\TrackerService\src\"/>
    </mc:Choice>
  </mc:AlternateContent>
  <xr:revisionPtr revIDLastSave="0" documentId="10_ncr:100000_{8213A483-15CF-473A-A3B4-1793620EAA2B}" xr6:coauthVersionLast="31" xr6:coauthVersionMax="31" xr10:uidLastSave="{00000000-0000-0000-0000-000000000000}"/>
  <bookViews>
    <workbookView xWindow="0" yWindow="0" windowWidth="23040" windowHeight="7620" xr2:uid="{00000000-000D-0000-FFFF-FFFF00000000}"/>
  </bookViews>
  <sheets>
    <sheet name="Summary" sheetId="4" r:id="rId1"/>
    <sheet name="Status" sheetId="1" r:id="rId2"/>
    <sheet name="Subtasks Hours" sheetId="6" state="hidden" r:id="rId3"/>
  </sheets>
  <calcPr calcId="179017" calcOnSave="0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4" i="1" l="1"/>
  <c r="AE4" i="1"/>
  <c r="BM2" i="6" l="1"/>
  <c r="BM3" i="6"/>
  <c r="BM4" i="6"/>
  <c r="BM5" i="6"/>
  <c r="BM6" i="6"/>
  <c r="BM7" i="6"/>
  <c r="BM8" i="6"/>
  <c r="BM9" i="6"/>
  <c r="BM10" i="6"/>
  <c r="BM11" i="6"/>
  <c r="BM12" i="6"/>
  <c r="BM13" i="6"/>
  <c r="BN2" i="6"/>
  <c r="BN3" i="6"/>
  <c r="BN4" i="6"/>
  <c r="BN5" i="6"/>
  <c r="BN6" i="6"/>
  <c r="BN7" i="6"/>
  <c r="BN8" i="6"/>
  <c r="BN9" i="6"/>
  <c r="BN10" i="6"/>
  <c r="BN11" i="6"/>
  <c r="BN12" i="6"/>
  <c r="BN13" i="6"/>
  <c r="BO2" i="6"/>
  <c r="BO3" i="6"/>
  <c r="BO4" i="6"/>
  <c r="BO5" i="6"/>
  <c r="BO6" i="6"/>
  <c r="BO7" i="6"/>
  <c r="BO8" i="6"/>
  <c r="BO9" i="6"/>
  <c r="BO10" i="6"/>
  <c r="BO11" i="6"/>
  <c r="BO12" i="6"/>
  <c r="BO13" i="6"/>
  <c r="BJ2" i="6"/>
  <c r="BJ3" i="6"/>
  <c r="BJ4" i="6"/>
  <c r="BJ5" i="6"/>
  <c r="BJ6" i="6"/>
  <c r="BJ7" i="6"/>
  <c r="BJ8" i="6"/>
  <c r="BJ9" i="6"/>
  <c r="BJ10" i="6"/>
  <c r="BJ11" i="6"/>
  <c r="BJ12" i="6"/>
  <c r="BJ13" i="6"/>
  <c r="BK2" i="6"/>
  <c r="BK3" i="6"/>
  <c r="BK4" i="6"/>
  <c r="BK5" i="6"/>
  <c r="BK6" i="6"/>
  <c r="BK7" i="6"/>
  <c r="BK8" i="6"/>
  <c r="BK9" i="6"/>
  <c r="BK10" i="6"/>
  <c r="BK11" i="6"/>
  <c r="BK12" i="6"/>
  <c r="BK13" i="6"/>
  <c r="BL2" i="6"/>
  <c r="BL3" i="6"/>
  <c r="BL4" i="6"/>
  <c r="BL5" i="6"/>
  <c r="BL6" i="6"/>
  <c r="BL7" i="6"/>
  <c r="BL8" i="6"/>
  <c r="BL9" i="6"/>
  <c r="BL10" i="6"/>
  <c r="BL11" i="6"/>
  <c r="BL12" i="6"/>
  <c r="BL13" i="6"/>
  <c r="BG2" i="6"/>
  <c r="BG3" i="6"/>
  <c r="BG4" i="6"/>
  <c r="BG5" i="6"/>
  <c r="BG6" i="6"/>
  <c r="BG7" i="6"/>
  <c r="BG8" i="6"/>
  <c r="BG9" i="6"/>
  <c r="BG10" i="6"/>
  <c r="BG11" i="6"/>
  <c r="BG12" i="6"/>
  <c r="BG13" i="6"/>
  <c r="BH2" i="6"/>
  <c r="BH3" i="6"/>
  <c r="BH4" i="6"/>
  <c r="BH5" i="6"/>
  <c r="BH6" i="6"/>
  <c r="BH7" i="6"/>
  <c r="BH8" i="6"/>
  <c r="BH9" i="6"/>
  <c r="BI9" i="6" s="1"/>
  <c r="BH10" i="6"/>
  <c r="BH11" i="6"/>
  <c r="BH12" i="6"/>
  <c r="BI12" i="6" s="1"/>
  <c r="BH13" i="6"/>
  <c r="BI13" i="6" s="1"/>
  <c r="BI2" i="6"/>
  <c r="BI3" i="6"/>
  <c r="BI4" i="6"/>
  <c r="BI5" i="6"/>
  <c r="BI6" i="6"/>
  <c r="BI7" i="6"/>
  <c r="BI8" i="6"/>
  <c r="BI10" i="6"/>
  <c r="BI11" i="6"/>
  <c r="BD2" i="6"/>
  <c r="BD3" i="6"/>
  <c r="BD4" i="6"/>
  <c r="BD5" i="6"/>
  <c r="BD6" i="6"/>
  <c r="BD7" i="6"/>
  <c r="BD8" i="6"/>
  <c r="BD9" i="6"/>
  <c r="BD10" i="6"/>
  <c r="BD11" i="6"/>
  <c r="BD12" i="6"/>
  <c r="BD13" i="6"/>
  <c r="BE2" i="6"/>
  <c r="BE3" i="6"/>
  <c r="BE4" i="6"/>
  <c r="BE5" i="6"/>
  <c r="BE6" i="6"/>
  <c r="BE7" i="6"/>
  <c r="BE8" i="6"/>
  <c r="BE9" i="6"/>
  <c r="BF9" i="6" s="1"/>
  <c r="BE10" i="6"/>
  <c r="BE11" i="6"/>
  <c r="BE12" i="6"/>
  <c r="BE13" i="6"/>
  <c r="BF13" i="6" s="1"/>
  <c r="BF2" i="6"/>
  <c r="BF3" i="6"/>
  <c r="BF4" i="6"/>
  <c r="BF5" i="6"/>
  <c r="BF6" i="6"/>
  <c r="BF7" i="6"/>
  <c r="BF8" i="6"/>
  <c r="BF10" i="6"/>
  <c r="BF11" i="6"/>
  <c r="BF12" i="6"/>
  <c r="BA2" i="6"/>
  <c r="BA3" i="6"/>
  <c r="BA4" i="6"/>
  <c r="BA5" i="6"/>
  <c r="BA6" i="6"/>
  <c r="BA7" i="6"/>
  <c r="BA8" i="6"/>
  <c r="BA9" i="6"/>
  <c r="BA10" i="6"/>
  <c r="BA11" i="6"/>
  <c r="BA12" i="6"/>
  <c r="BA13" i="6"/>
  <c r="BB2" i="6"/>
  <c r="BB3" i="6"/>
  <c r="BB4" i="6"/>
  <c r="BB5" i="6"/>
  <c r="BB6" i="6"/>
  <c r="BB7" i="6"/>
  <c r="BB8" i="6"/>
  <c r="BB9" i="6"/>
  <c r="BB10" i="6"/>
  <c r="BB11" i="6"/>
  <c r="BB12" i="6"/>
  <c r="BB13" i="6"/>
  <c r="BC2" i="6"/>
  <c r="BC3" i="6"/>
  <c r="BC4" i="6"/>
  <c r="BC5" i="6"/>
  <c r="BC6" i="6"/>
  <c r="BC7" i="6"/>
  <c r="BC8" i="6"/>
  <c r="BC9" i="6"/>
  <c r="BC10" i="6"/>
  <c r="BC11" i="6"/>
  <c r="BC12" i="6"/>
  <c r="BC13" i="6"/>
  <c r="AX2" i="6"/>
  <c r="AX3" i="6"/>
  <c r="AX4" i="6"/>
  <c r="AX5" i="6"/>
  <c r="AX6" i="6"/>
  <c r="AX7" i="6"/>
  <c r="AX8" i="6"/>
  <c r="AX9" i="6"/>
  <c r="AX10" i="6"/>
  <c r="AX11" i="6"/>
  <c r="AX12" i="6"/>
  <c r="AX13" i="6"/>
  <c r="AY2" i="6"/>
  <c r="AY3" i="6"/>
  <c r="AY4" i="6"/>
  <c r="AY5" i="6"/>
  <c r="AY6" i="6"/>
  <c r="AY7" i="6"/>
  <c r="AY8" i="6"/>
  <c r="AY9" i="6"/>
  <c r="AY10" i="6"/>
  <c r="AY11" i="6"/>
  <c r="AY12" i="6"/>
  <c r="AY13" i="6"/>
  <c r="AZ2" i="6"/>
  <c r="AZ3" i="6"/>
  <c r="AZ4" i="6"/>
  <c r="AZ5" i="6"/>
  <c r="AZ6" i="6"/>
  <c r="AZ7" i="6"/>
  <c r="AZ8" i="6"/>
  <c r="AZ9" i="6"/>
  <c r="AZ10" i="6"/>
  <c r="AZ11" i="6"/>
  <c r="AZ12" i="6"/>
  <c r="AZ13" i="6"/>
  <c r="AU2" i="6"/>
  <c r="AU3" i="6"/>
  <c r="AU4" i="6"/>
  <c r="AU5" i="6"/>
  <c r="AU6" i="6"/>
  <c r="AU7" i="6"/>
  <c r="AU8" i="6"/>
  <c r="AU9" i="6"/>
  <c r="AU10" i="6"/>
  <c r="AU11" i="6"/>
  <c r="AU12" i="6"/>
  <c r="AU13" i="6"/>
  <c r="AV2" i="6"/>
  <c r="AV3" i="6"/>
  <c r="AV4" i="6"/>
  <c r="AV5" i="6"/>
  <c r="AV6" i="6"/>
  <c r="AV7" i="6"/>
  <c r="AV8" i="6"/>
  <c r="AV9" i="6"/>
  <c r="AV10" i="6"/>
  <c r="AV11" i="6"/>
  <c r="AV12" i="6"/>
  <c r="AV13" i="6"/>
  <c r="AW2" i="6"/>
  <c r="AW3" i="6"/>
  <c r="AW4" i="6"/>
  <c r="AW5" i="6"/>
  <c r="AW6" i="6"/>
  <c r="AW7" i="6"/>
  <c r="AW8" i="6"/>
  <c r="AW9" i="6"/>
  <c r="AW10" i="6"/>
  <c r="AW11" i="6"/>
  <c r="AW12" i="6"/>
  <c r="AW13" i="6"/>
  <c r="AR2" i="6"/>
  <c r="AR3" i="6"/>
  <c r="AR4" i="6"/>
  <c r="AR5" i="6"/>
  <c r="AR6" i="6"/>
  <c r="AR7" i="6"/>
  <c r="AR8" i="6"/>
  <c r="AR9" i="6"/>
  <c r="AR10" i="6"/>
  <c r="AR11" i="6"/>
  <c r="AR12" i="6"/>
  <c r="AR13" i="6"/>
  <c r="AS2" i="6"/>
  <c r="AS3" i="6"/>
  <c r="AS4" i="6"/>
  <c r="AS5" i="6"/>
  <c r="AS6" i="6"/>
  <c r="AS7" i="6"/>
  <c r="AS8" i="6"/>
  <c r="AS9" i="6"/>
  <c r="AS10" i="6"/>
  <c r="AS11" i="6"/>
  <c r="AS12" i="6"/>
  <c r="AS13" i="6"/>
  <c r="AT2" i="6"/>
  <c r="AT3" i="6"/>
  <c r="AT4" i="6"/>
  <c r="AT5" i="6"/>
  <c r="AT6" i="6"/>
  <c r="AT7" i="6"/>
  <c r="AT8" i="6"/>
  <c r="AT9" i="6"/>
  <c r="AT10" i="6"/>
  <c r="AT11" i="6"/>
  <c r="AT12" i="6"/>
  <c r="AT13" i="6"/>
  <c r="AO2" i="6"/>
  <c r="AO3" i="6"/>
  <c r="AO4" i="6"/>
  <c r="AO5" i="6"/>
  <c r="AO6" i="6"/>
  <c r="AO7" i="6"/>
  <c r="AO8" i="6"/>
  <c r="AO9" i="6"/>
  <c r="AO10" i="6"/>
  <c r="AO11" i="6"/>
  <c r="AO12" i="6"/>
  <c r="AO13" i="6"/>
  <c r="AP2" i="6"/>
  <c r="AP3" i="6"/>
  <c r="AP4" i="6"/>
  <c r="AP5" i="6"/>
  <c r="AP6" i="6"/>
  <c r="AP7" i="6"/>
  <c r="AP8" i="6"/>
  <c r="AP9" i="6"/>
  <c r="AP10" i="6"/>
  <c r="AP11" i="6"/>
  <c r="AP12" i="6"/>
  <c r="AQ12" i="6" s="1"/>
  <c r="AP13" i="6"/>
  <c r="AQ2" i="6"/>
  <c r="AQ3" i="6"/>
  <c r="AQ4" i="6"/>
  <c r="AQ5" i="6"/>
  <c r="AQ6" i="6"/>
  <c r="AQ7" i="6"/>
  <c r="AQ8" i="6"/>
  <c r="AQ9" i="6"/>
  <c r="AQ10" i="6"/>
  <c r="AQ11" i="6"/>
  <c r="AQ13" i="6"/>
  <c r="AL2" i="6"/>
  <c r="AL3" i="6"/>
  <c r="AL4" i="6"/>
  <c r="AL5" i="6"/>
  <c r="AL6" i="6"/>
  <c r="AL7" i="6"/>
  <c r="AL8" i="6"/>
  <c r="AL9" i="6"/>
  <c r="AL10" i="6"/>
  <c r="AL11" i="6"/>
  <c r="AL12" i="6"/>
  <c r="AL13" i="6"/>
  <c r="AM2" i="6"/>
  <c r="AM3" i="6"/>
  <c r="AM4" i="6"/>
  <c r="AM5" i="6"/>
  <c r="AM6" i="6"/>
  <c r="AM7" i="6"/>
  <c r="AM8" i="6"/>
  <c r="AM9" i="6"/>
  <c r="AN9" i="6" s="1"/>
  <c r="AM10" i="6"/>
  <c r="AM11" i="6"/>
  <c r="AM12" i="6"/>
  <c r="AM13" i="6"/>
  <c r="AN13" i="6" s="1"/>
  <c r="AN2" i="6"/>
  <c r="AN3" i="6"/>
  <c r="AN4" i="6"/>
  <c r="AN5" i="6"/>
  <c r="AN6" i="6"/>
  <c r="AN7" i="6"/>
  <c r="AN8" i="6"/>
  <c r="AN10" i="6"/>
  <c r="AN11" i="6"/>
  <c r="AN12" i="6"/>
  <c r="AI2" i="6"/>
  <c r="AI3" i="6"/>
  <c r="AI4" i="6"/>
  <c r="AI5" i="6"/>
  <c r="AI6" i="6"/>
  <c r="AI7" i="6"/>
  <c r="AI8" i="6"/>
  <c r="AI9" i="6"/>
  <c r="AI10" i="6"/>
  <c r="AI11" i="6"/>
  <c r="AI12" i="6"/>
  <c r="AI13" i="6"/>
  <c r="AJ2" i="6"/>
  <c r="AJ3" i="6"/>
  <c r="AJ4" i="6"/>
  <c r="AK4" i="6" s="1"/>
  <c r="AJ5" i="6"/>
  <c r="AJ6" i="6"/>
  <c r="AJ7" i="6"/>
  <c r="AJ8" i="6"/>
  <c r="AJ9" i="6"/>
  <c r="AK9" i="6" s="1"/>
  <c r="AJ10" i="6"/>
  <c r="AJ11" i="6"/>
  <c r="AJ12" i="6"/>
  <c r="AK12" i="6" s="1"/>
  <c r="AJ13" i="6"/>
  <c r="AK13" i="6" s="1"/>
  <c r="AK2" i="6"/>
  <c r="AK3" i="6"/>
  <c r="AK5" i="6"/>
  <c r="AK6" i="6"/>
  <c r="AK7" i="6"/>
  <c r="AK8" i="6"/>
  <c r="AK10" i="6"/>
  <c r="AK11" i="6"/>
  <c r="AF2" i="6"/>
  <c r="AF3" i="6"/>
  <c r="AF4" i="6"/>
  <c r="AF5" i="6"/>
  <c r="AF6" i="6"/>
  <c r="AF7" i="6"/>
  <c r="AF8" i="6"/>
  <c r="AF9" i="6"/>
  <c r="AF10" i="6"/>
  <c r="AF11" i="6"/>
  <c r="AF12" i="6"/>
  <c r="AF13" i="6"/>
  <c r="AG2" i="6"/>
  <c r="AG3" i="6"/>
  <c r="AG4" i="6"/>
  <c r="AG5" i="6"/>
  <c r="AG6" i="6"/>
  <c r="AG7" i="6"/>
  <c r="AG8" i="6"/>
  <c r="AG9" i="6"/>
  <c r="AH9" i="6" s="1"/>
  <c r="AG10" i="6"/>
  <c r="AG11" i="6"/>
  <c r="AH11" i="6" s="1"/>
  <c r="AG12" i="6"/>
  <c r="AG13" i="6"/>
  <c r="AH13" i="6" s="1"/>
  <c r="AH2" i="6"/>
  <c r="AH3" i="6"/>
  <c r="AH4" i="6"/>
  <c r="AH5" i="6"/>
  <c r="AH6" i="6"/>
  <c r="AH7" i="6"/>
  <c r="AH8" i="6"/>
  <c r="AH10" i="6"/>
  <c r="AH12" i="6"/>
  <c r="AC2" i="6"/>
  <c r="AC3" i="6"/>
  <c r="AC4" i="6"/>
  <c r="AC5" i="6"/>
  <c r="AE5" i="6" s="1"/>
  <c r="AC6" i="6"/>
  <c r="AC7" i="6"/>
  <c r="AC8" i="6"/>
  <c r="AC9" i="6"/>
  <c r="AC10" i="6"/>
  <c r="AC11" i="6"/>
  <c r="AC12" i="6"/>
  <c r="AC13" i="6"/>
  <c r="AD2" i="6"/>
  <c r="AD3" i="6"/>
  <c r="AD4" i="6"/>
  <c r="AD5" i="6"/>
  <c r="AD6" i="6"/>
  <c r="AD7" i="6"/>
  <c r="AD8" i="6"/>
  <c r="AD9" i="6"/>
  <c r="AD10" i="6"/>
  <c r="AD11" i="6"/>
  <c r="AD12" i="6"/>
  <c r="AD13" i="6"/>
  <c r="AE13" i="6" s="1"/>
  <c r="AE2" i="6"/>
  <c r="AE3" i="6"/>
  <c r="AE4" i="6"/>
  <c r="AE6" i="6"/>
  <c r="AE7" i="6"/>
  <c r="AE8" i="6"/>
  <c r="AE9" i="6"/>
  <c r="AE10" i="6"/>
  <c r="AE11" i="6"/>
  <c r="AE12" i="6"/>
  <c r="Z2" i="6"/>
  <c r="Z3" i="6"/>
  <c r="Z4" i="6"/>
  <c r="Z5" i="6"/>
  <c r="Z6" i="6"/>
  <c r="Z7" i="6"/>
  <c r="Z8" i="6"/>
  <c r="Z9" i="6"/>
  <c r="Z10" i="6"/>
  <c r="Z11" i="6"/>
  <c r="Z12" i="6"/>
  <c r="Z13" i="6"/>
  <c r="AA2" i="6"/>
  <c r="AA3" i="6"/>
  <c r="AA4" i="6"/>
  <c r="AA5" i="6"/>
  <c r="AA6" i="6"/>
  <c r="AA7" i="6"/>
  <c r="AA8" i="6"/>
  <c r="AA9" i="6"/>
  <c r="AA10" i="6"/>
  <c r="AA11" i="6"/>
  <c r="AA12" i="6"/>
  <c r="AA13" i="6"/>
  <c r="AB2" i="6"/>
  <c r="AB3" i="6"/>
  <c r="AB4" i="6"/>
  <c r="AB5" i="6"/>
  <c r="AB6" i="6"/>
  <c r="AB7" i="6"/>
  <c r="AB8" i="6"/>
  <c r="AB9" i="6"/>
  <c r="AB10" i="6"/>
  <c r="AB11" i="6"/>
  <c r="AB12" i="6"/>
  <c r="AB13" i="6"/>
  <c r="W2" i="6"/>
  <c r="W3" i="6"/>
  <c r="W4" i="6"/>
  <c r="W5" i="6"/>
  <c r="W6" i="6"/>
  <c r="W7" i="6"/>
  <c r="W8" i="6"/>
  <c r="W9" i="6"/>
  <c r="W10" i="6"/>
  <c r="W11" i="6"/>
  <c r="W12" i="6"/>
  <c r="W13" i="6"/>
  <c r="X2" i="6"/>
  <c r="X3" i="6"/>
  <c r="X4" i="6"/>
  <c r="X5" i="6"/>
  <c r="X6" i="6"/>
  <c r="X7" i="6"/>
  <c r="X8" i="6"/>
  <c r="X9" i="6"/>
  <c r="X10" i="6"/>
  <c r="X11" i="6"/>
  <c r="X12" i="6"/>
  <c r="X13" i="6"/>
  <c r="Y2" i="6"/>
  <c r="Y3" i="6"/>
  <c r="Y4" i="6"/>
  <c r="Y5" i="6"/>
  <c r="Y6" i="6"/>
  <c r="Y7" i="6"/>
  <c r="Y8" i="6"/>
  <c r="Y9" i="6"/>
  <c r="Y10" i="6"/>
  <c r="Y11" i="6"/>
  <c r="Y12" i="6"/>
  <c r="Y13" i="6"/>
  <c r="T2" i="6"/>
  <c r="T3" i="6"/>
  <c r="T4" i="6"/>
  <c r="T5" i="6"/>
  <c r="T6" i="6"/>
  <c r="T7" i="6"/>
  <c r="T8" i="6"/>
  <c r="T9" i="6"/>
  <c r="T10" i="6"/>
  <c r="T11" i="6"/>
  <c r="T12" i="6"/>
  <c r="T13" i="6"/>
  <c r="U2" i="6"/>
  <c r="U3" i="6"/>
  <c r="U4" i="6"/>
  <c r="U5" i="6"/>
  <c r="U6" i="6"/>
  <c r="U7" i="6"/>
  <c r="U8" i="6"/>
  <c r="U9" i="6"/>
  <c r="U10" i="6"/>
  <c r="U11" i="6"/>
  <c r="U12" i="6"/>
  <c r="U13" i="6"/>
  <c r="V2" i="6"/>
  <c r="V3" i="6"/>
  <c r="V4" i="6"/>
  <c r="V5" i="6"/>
  <c r="V6" i="6"/>
  <c r="V7" i="6"/>
  <c r="V8" i="6"/>
  <c r="V9" i="6"/>
  <c r="V10" i="6"/>
  <c r="V11" i="6"/>
  <c r="V12" i="6"/>
  <c r="V13" i="6"/>
  <c r="Q2" i="6"/>
  <c r="Q3" i="6"/>
  <c r="Q4" i="6"/>
  <c r="Q5" i="6"/>
  <c r="Q6" i="6"/>
  <c r="Q7" i="6"/>
  <c r="Q8" i="6"/>
  <c r="Q9" i="6"/>
  <c r="Q10" i="6"/>
  <c r="Q11" i="6"/>
  <c r="Q12" i="6"/>
  <c r="Q13" i="6"/>
  <c r="R2" i="6"/>
  <c r="R3" i="6"/>
  <c r="R4" i="6"/>
  <c r="R5" i="6"/>
  <c r="R6" i="6"/>
  <c r="R7" i="6"/>
  <c r="R8" i="6"/>
  <c r="R9" i="6"/>
  <c r="R10" i="6"/>
  <c r="R11" i="6"/>
  <c r="R12" i="6"/>
  <c r="R13" i="6"/>
  <c r="S2" i="6"/>
  <c r="S3" i="6"/>
  <c r="S4" i="6"/>
  <c r="S5" i="6"/>
  <c r="S6" i="6"/>
  <c r="S7" i="6"/>
  <c r="S8" i="6"/>
  <c r="S9" i="6"/>
  <c r="S10" i="6"/>
  <c r="S11" i="6"/>
  <c r="S12" i="6"/>
  <c r="S13" i="6"/>
  <c r="N2" i="6"/>
  <c r="N3" i="6"/>
  <c r="N4" i="6"/>
  <c r="N5" i="6"/>
  <c r="N6" i="6"/>
  <c r="N7" i="6"/>
  <c r="N8" i="6"/>
  <c r="N9" i="6"/>
  <c r="N10" i="6"/>
  <c r="N11" i="6"/>
  <c r="N12" i="6"/>
  <c r="N13" i="6"/>
  <c r="O2" i="6"/>
  <c r="O3" i="6"/>
  <c r="O4" i="6"/>
  <c r="O5" i="6"/>
  <c r="O6" i="6"/>
  <c r="O7" i="6"/>
  <c r="O8" i="6"/>
  <c r="P8" i="6" s="1"/>
  <c r="O9" i="6"/>
  <c r="P9" i="6" s="1"/>
  <c r="O10" i="6"/>
  <c r="O11" i="6"/>
  <c r="P11" i="6" s="1"/>
  <c r="O12" i="6"/>
  <c r="P12" i="6" s="1"/>
  <c r="O13" i="6"/>
  <c r="P13" i="6" s="1"/>
  <c r="P2" i="6"/>
  <c r="P3" i="6"/>
  <c r="P4" i="6"/>
  <c r="P5" i="6"/>
  <c r="P6" i="6"/>
  <c r="P7" i="6"/>
  <c r="P10" i="6"/>
  <c r="K2" i="6"/>
  <c r="K3" i="6"/>
  <c r="K4" i="6"/>
  <c r="K5" i="6"/>
  <c r="K6" i="6"/>
  <c r="K7" i="6"/>
  <c r="K8" i="6"/>
  <c r="K9" i="6"/>
  <c r="K10" i="6"/>
  <c r="K11" i="6"/>
  <c r="K12" i="6"/>
  <c r="K13" i="6"/>
  <c r="L2" i="6"/>
  <c r="L3" i="6"/>
  <c r="L4" i="6"/>
  <c r="M4" i="6" s="1"/>
  <c r="L5" i="6"/>
  <c r="L6" i="6"/>
  <c r="L7" i="6"/>
  <c r="L8" i="6"/>
  <c r="L9" i="6"/>
  <c r="L10" i="6"/>
  <c r="L11" i="6"/>
  <c r="M11" i="6" s="1"/>
  <c r="L12" i="6"/>
  <c r="M12" i="6" s="1"/>
  <c r="L13" i="6"/>
  <c r="M13" i="6" s="1"/>
  <c r="M2" i="6"/>
  <c r="M3" i="6"/>
  <c r="M5" i="6"/>
  <c r="M6" i="6"/>
  <c r="M7" i="6"/>
  <c r="M8" i="6"/>
  <c r="M9" i="6"/>
  <c r="M10" i="6"/>
  <c r="I2" i="6"/>
  <c r="I3" i="6"/>
  <c r="I4" i="6"/>
  <c r="I5" i="6"/>
  <c r="I6" i="6"/>
  <c r="I7" i="6"/>
  <c r="I8" i="6"/>
  <c r="I9" i="6"/>
  <c r="I10" i="6"/>
  <c r="I11" i="6"/>
  <c r="I12" i="6"/>
  <c r="I13" i="6"/>
  <c r="H2" i="6"/>
  <c r="H3" i="6"/>
  <c r="H4" i="6"/>
  <c r="H5" i="6"/>
  <c r="J5" i="6" s="1"/>
  <c r="H6" i="6"/>
  <c r="H7" i="6"/>
  <c r="H8" i="6"/>
  <c r="H9" i="6"/>
  <c r="J9" i="6" s="1"/>
  <c r="H10" i="6"/>
  <c r="H11" i="6"/>
  <c r="H12" i="6"/>
  <c r="J12" i="6" s="1"/>
  <c r="H13" i="6"/>
  <c r="J13" i="6" s="1"/>
  <c r="G3" i="6"/>
  <c r="G4" i="6"/>
  <c r="G5" i="6"/>
  <c r="G6" i="6"/>
  <c r="G7" i="6"/>
  <c r="G8" i="6"/>
  <c r="G9" i="6"/>
  <c r="G10" i="6"/>
  <c r="G11" i="6"/>
  <c r="G12" i="6"/>
  <c r="G13" i="6"/>
  <c r="G2" i="6"/>
  <c r="J3" i="6"/>
  <c r="J6" i="6"/>
  <c r="J7" i="6"/>
  <c r="J10" i="6"/>
  <c r="J11" i="6"/>
  <c r="I14" i="6" l="1"/>
  <c r="J8" i="6"/>
  <c r="J4" i="6"/>
  <c r="J2" i="6"/>
  <c r="H14" i="6"/>
  <c r="J14" i="6" l="1"/>
  <c r="AQ3" i="1" l="1"/>
  <c r="AR3" i="1"/>
  <c r="AS3" i="1"/>
  <c r="AT3" i="1"/>
  <c r="AU3" i="1"/>
  <c r="AV3" i="1" l="1"/>
  <c r="AU4" i="1" l="1"/>
  <c r="AS4" i="1" l="1"/>
  <c r="AR4" i="1"/>
  <c r="AQ4" i="1"/>
  <c r="AT4" i="1"/>
  <c r="AV4" i="1"/>
</calcChain>
</file>

<file path=xl/sharedStrings.xml><?xml version="1.0" encoding="utf-8"?>
<sst xmlns="http://schemas.openxmlformats.org/spreadsheetml/2006/main" count="219" uniqueCount="163">
  <si>
    <t>Jira ID</t>
  </si>
  <si>
    <t>Current Owner</t>
  </si>
  <si>
    <t>Ready for Development</t>
  </si>
  <si>
    <t>Story</t>
  </si>
  <si>
    <t>Final Estimation</t>
  </si>
  <si>
    <t>Initial Estimation</t>
  </si>
  <si>
    <t>Status</t>
  </si>
  <si>
    <t>Story Points</t>
  </si>
  <si>
    <t>Process Tower</t>
  </si>
  <si>
    <t>Functional Grooming</t>
  </si>
  <si>
    <t>Technical Grooming</t>
  </si>
  <si>
    <t>Technical Design</t>
  </si>
  <si>
    <t>Development</t>
  </si>
  <si>
    <t>Testing</t>
  </si>
  <si>
    <t>Grooming Sessions</t>
  </si>
  <si>
    <t>Business Approval</t>
  </si>
  <si>
    <t>Analysis</t>
  </si>
  <si>
    <t>Initial Technical Draft</t>
  </si>
  <si>
    <t>Techincal Design Document</t>
  </si>
  <si>
    <t>Ready for Dev Team review</t>
  </si>
  <si>
    <t>Unit Testing</t>
  </si>
  <si>
    <t>Peer Review</t>
  </si>
  <si>
    <t>Mock Deployment</t>
  </si>
  <si>
    <t>SonarQube</t>
  </si>
  <si>
    <t>Pull Request</t>
  </si>
  <si>
    <t>ACECI</t>
  </si>
  <si>
    <t>ACESIT</t>
  </si>
  <si>
    <t>ACEUAT</t>
  </si>
  <si>
    <t>ACEPerform</t>
  </si>
  <si>
    <t>ACEMock</t>
  </si>
  <si>
    <t>Production</t>
  </si>
  <si>
    <t>Overall</t>
  </si>
  <si>
    <t>Progress</t>
  </si>
  <si>
    <t>Comments</t>
  </si>
  <si>
    <t>Development Process</t>
  </si>
  <si>
    <t>Feature</t>
  </si>
  <si>
    <t>Dev Team</t>
  </si>
  <si>
    <t>Target CI Deployment</t>
  </si>
  <si>
    <t>Wireframe</t>
  </si>
  <si>
    <t>VD</t>
  </si>
  <si>
    <t>Integration Dependency</t>
  </si>
  <si>
    <t>Update TDD, Data Dictionary and Jira</t>
  </si>
  <si>
    <t>Type</t>
  </si>
  <si>
    <t>(blank)</t>
  </si>
  <si>
    <t>Grand Total</t>
  </si>
  <si>
    <t>Functional Grooming.</t>
  </si>
  <si>
    <t>Technical Grooming.</t>
  </si>
  <si>
    <t>Technical Design.</t>
  </si>
  <si>
    <t>Development Process.</t>
  </si>
  <si>
    <t>Testing.</t>
  </si>
  <si>
    <t>Overall.</t>
  </si>
  <si>
    <t>Features</t>
  </si>
  <si>
    <t>(All)</t>
  </si>
  <si>
    <t>Values</t>
  </si>
  <si>
    <t>Towers</t>
  </si>
  <si>
    <t>Average</t>
  </si>
  <si>
    <t>Row Labels</t>
  </si>
  <si>
    <t>Column Labels</t>
  </si>
  <si>
    <t>Count of Jira ID</t>
  </si>
  <si>
    <t>Test Data</t>
  </si>
  <si>
    <t>Sprint allocation</t>
  </si>
  <si>
    <t>Estimated</t>
  </si>
  <si>
    <t>Actual</t>
  </si>
  <si>
    <t>MuleSoft Story</t>
  </si>
  <si>
    <t>Feature Jira Id</t>
  </si>
  <si>
    <t>Pre-review</t>
  </si>
  <si>
    <t>Sum of Estimated</t>
  </si>
  <si>
    <t>Key</t>
  </si>
  <si>
    <t>Summary</t>
  </si>
  <si>
    <t>Σ Time Spent</t>
  </si>
  <si>
    <t>Original Estimate</t>
  </si>
  <si>
    <t>Assignee</t>
  </si>
  <si>
    <t>CEAS-6358</t>
  </si>
  <si>
    <t>CEAS-737 Technical Design</t>
  </si>
  <si>
    <t>Done</t>
  </si>
  <si>
    <t>Unassigned</t>
  </si>
  <si>
    <t>CEAS-6355</t>
  </si>
  <si>
    <t>CEAS-2212 Technical Design</t>
  </si>
  <si>
    <t>CEAS-6354</t>
  </si>
  <si>
    <t>CEAS-2212 Retesting Effort</t>
  </si>
  <si>
    <t>Nandhini Rajendran</t>
  </si>
  <si>
    <t>CEAS-5737</t>
  </si>
  <si>
    <t>CEAS-421 Documentation</t>
  </si>
  <si>
    <t>Soumya Devisetty</t>
  </si>
  <si>
    <t>CEAS-5736</t>
  </si>
  <si>
    <t>CEAS-421 JIRA Update</t>
  </si>
  <si>
    <t>CEAS-5735</t>
  </si>
  <si>
    <t>CEAS-421 Post Deployment Steps</t>
  </si>
  <si>
    <t>Sunil Mani</t>
  </si>
  <si>
    <t>CEAS-5734</t>
  </si>
  <si>
    <t>CEAS-421 Deployment</t>
  </si>
  <si>
    <t>CEAS-5733</t>
  </si>
  <si>
    <t>CEAS-421 Pre Deployment Steps</t>
  </si>
  <si>
    <t>CEAS-5732</t>
  </si>
  <si>
    <t>CEAS-421 Code Merge</t>
  </si>
  <si>
    <t>CEAS-5731</t>
  </si>
  <si>
    <t>CEAS-421 Pull Request Creation</t>
  </si>
  <si>
    <t>CEAS-5730</t>
  </si>
  <si>
    <t>CEAS-421 Technical Design</t>
  </si>
  <si>
    <t>CEAS-5729</t>
  </si>
  <si>
    <t>CEAS-1232 Documentation</t>
  </si>
  <si>
    <t>Hemangini Vashishtha [X]</t>
  </si>
  <si>
    <t>User Story</t>
  </si>
  <si>
    <t>Expected-Technical Design</t>
  </si>
  <si>
    <t>Expected-Development</t>
  </si>
  <si>
    <t>Expected-Unit Testing</t>
  </si>
  <si>
    <t>Expected-Peer Review</t>
  </si>
  <si>
    <t>Expected-Commit to GitHub</t>
  </si>
  <si>
    <t>Expected-CheckOnly Deployment</t>
  </si>
  <si>
    <t>Expected-Automated Code review</t>
  </si>
  <si>
    <t>Expected-Pull Request creation</t>
  </si>
  <si>
    <t>Expected-Code Merge</t>
  </si>
  <si>
    <t>Expected-Pre-deployment steps</t>
  </si>
  <si>
    <t>Expected-Deployment</t>
  </si>
  <si>
    <t>Expected-Post-deployment steps</t>
  </si>
  <si>
    <t>Expected-Jira update</t>
  </si>
  <si>
    <t>Expected-Documentation</t>
  </si>
  <si>
    <t>Expected-Test Scenario Creation</t>
  </si>
  <si>
    <t>Expected-Automation test script creation</t>
  </si>
  <si>
    <t>Expected-Automation test script - review</t>
  </si>
  <si>
    <t>Expected-Test Data Coordination</t>
  </si>
  <si>
    <t>Expected-Automation test script execution</t>
  </si>
  <si>
    <t>Expected-Retesting effort</t>
  </si>
  <si>
    <t>Actual-Technical Design</t>
  </si>
  <si>
    <t>Actual-Development</t>
  </si>
  <si>
    <t>Actual-Unit Testing</t>
  </si>
  <si>
    <t>Actual-Peer Review</t>
  </si>
  <si>
    <t>Actual-Commit to GitHub</t>
  </si>
  <si>
    <t>Actual-CheckOnly Deployment</t>
  </si>
  <si>
    <t>Actual-Automated Code review</t>
  </si>
  <si>
    <t>Actual-Pull Request creation</t>
  </si>
  <si>
    <t>Actual-Code Merge</t>
  </si>
  <si>
    <t>Actual-Pre-deployment steps</t>
  </si>
  <si>
    <t>Actual-Deployment</t>
  </si>
  <si>
    <t>Actual-Post-deployment steps</t>
  </si>
  <si>
    <t>Actual-Jira update</t>
  </si>
  <si>
    <t>Actual-Documentation</t>
  </si>
  <si>
    <t>Actual-Test Scenario Creation</t>
  </si>
  <si>
    <t>Actual-Automation test script creation</t>
  </si>
  <si>
    <t>Actual-Automation test script - review</t>
  </si>
  <si>
    <t>Actual-Test Data Coordination</t>
  </si>
  <si>
    <t>Actual-Automation test script execution</t>
  </si>
  <si>
    <t>Actual-Retesting effort</t>
  </si>
  <si>
    <t>Gap-Technical Design</t>
  </si>
  <si>
    <t>Gap-Development</t>
  </si>
  <si>
    <t>Gap-Unit Testing</t>
  </si>
  <si>
    <t>Gap-Peer Review</t>
  </si>
  <si>
    <t>Gap-Commit to GitHub</t>
  </si>
  <si>
    <t>Gap-CheckOnly Deployment</t>
  </si>
  <si>
    <t>Gap-Automated Code review</t>
  </si>
  <si>
    <t>Gap-Pull Request creation</t>
  </si>
  <si>
    <t>Gap-Code Merge</t>
  </si>
  <si>
    <t>Gap-Pre-deployment steps</t>
  </si>
  <si>
    <t>Gap-Deployment</t>
  </si>
  <si>
    <t>Gap-Post-deployment steps</t>
  </si>
  <si>
    <t>Gap-Jira update</t>
  </si>
  <si>
    <t>Gap-Documentation</t>
  </si>
  <si>
    <t>Gap-Test Scenario Creation</t>
  </si>
  <si>
    <t>Gap-Automation test script creation</t>
  </si>
  <si>
    <t>Gap-Automation test script - review</t>
  </si>
  <si>
    <t>Gap-Test Data Coordination</t>
  </si>
  <si>
    <t>Gap-Automation test script execution</t>
  </si>
  <si>
    <t>Gap-Retesting effort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</si>
</sst>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1" fillId="0" borderId="0" xfId="1"/>
    <xf numFmtId="10" fontId="1" fillId="0" borderId="0" xfId="1" applyNumberFormat="1"/>
    <xf numFmtId="1" fontId="0" fillId="0" borderId="0" xfId="0" applyNumberFormat="1" applyFill="1" applyAlignment="1">
      <alignment horizontal="left"/>
    </xf>
    <xf numFmtId="0" fontId="0" fillId="0" borderId="0" xfId="0" applyFill="1" applyAlignment="1"/>
    <xf numFmtId="0" fontId="0" fillId="0" borderId="0" xfId="0"/>
    <xf numFmtId="10" fontId="0" fillId="0" borderId="0" xfId="0" applyNumberFormat="1"/>
    <xf numFmtId="1" fontId="0" fillId="0" borderId="0" xfId="0" applyNumberForma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 applyFill="1" applyAlignment="1">
      <alignment horizontal="center"/>
    </xf>
    <xf numFmtId="0" fontId="0" fillId="0" borderId="0" xfId="0" applyNumberFormat="1"/>
    <xf numFmtId="14" fontId="0" fillId="0" borderId="0" xfId="0" applyNumberFormat="1" applyFill="1" applyAlignment="1">
      <alignment horizontal="center"/>
    </xf>
    <xf numFmtId="0" fontId="0" fillId="0" borderId="0" xfId="0" applyAlignment="1"/>
    <xf numFmtId="0" fontId="2" fillId="0" borderId="0" xfId="1" applyFont="1"/>
    <xf numFmtId="0" fontId="2" fillId="0" borderId="0" xfId="0" applyNumberFormat="1" applyFont="1" applyFill="1" applyBorder="1" applyAlignment="1" applyProtection="1"/>
    <xf numFmtId="1" fontId="0" fillId="0" borderId="0" xfId="0" applyNumberFormat="1" applyFill="1" applyAlignment="1">
      <alignment horizontal="center" vertical="center"/>
    </xf>
    <xf numFmtId="1" fontId="0" fillId="0" borderId="0" xfId="0" applyNumberFormat="1" applyAlignment="1"/>
    <xf numFmtId="10" fontId="0" fillId="0" borderId="0" xfId="0" applyNumberFormat="1" applyFill="1" applyAlignment="1"/>
    <xf numFmtId="10" fontId="0" fillId="0" borderId="0" xfId="0" applyNumberFormat="1" applyAlignment="1"/>
    <xf numFmtId="49" fontId="0" fillId="0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left"/>
    </xf>
    <xf numFmtId="49" fontId="0" fillId="0" borderId="0" xfId="0" applyNumberFormat="1" applyFill="1" applyAlignment="1"/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alignment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[Template.xlsm]Summary!PivotTable4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Summary!$B$168:$B$169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Summary!$A$170:$A$171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Summary!$B$170:$B$171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041-467D-893D-5DB58B78FA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664981856"/>
        <c:axId val="664976608"/>
      </c:barChart>
      <c:catAx>
        <c:axId val="66498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976608"/>
        <c:crosses val="autoZero"/>
        <c:auto val="1"/>
        <c:lblAlgn val="ctr"/>
        <c:lblOffset val="100"/>
        <c:noMultiLvlLbl val="0"/>
      </c:catAx>
      <c:valAx>
        <c:axId val="664976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6498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[Template.xlsm]Summary!PivotTable5</c:name>
    <c:fmtId val="2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Summary!$B$196:$B$197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Summary!$A$198:$A$199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Summary!$B$198:$B$199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86B-4455-8A5F-6E465FFB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3983704"/>
        <c:axId val="453984360"/>
      </c:barChart>
      <c:catAx>
        <c:axId val="45398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84360"/>
        <c:crosses val="autoZero"/>
        <c:auto val="1"/>
        <c:lblAlgn val="ctr"/>
        <c:lblOffset val="100"/>
        <c:noMultiLvlLbl val="0"/>
      </c:catAx>
      <c:valAx>
        <c:axId val="4539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83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[Template.xlsm]Summary!PivotTable3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</a:t>
            </a:r>
            <a:r>
              <a:rPr lang="en-US" baseline="0"/>
              <a:t> Progress by Process Tower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7A0-4D0B-B1EC-4420A07EE1C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7A0-4D0B-B1EC-4420A07EE1C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A0-4D0B-B1EC-4420A07EE1C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7A0-4D0B-B1EC-4420A07EE1C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7A0-4D0B-B1EC-4420A07EE1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Summary!$A$146:$A$150</c:f>
              <c:strCache>
                <c:ptCount val="5"/>
                <c:pt idx="0">
                  <c:v>Functional Grooming.</c:v>
                </c:pt>
                <c:pt idx="1">
                  <c:v>Technical Grooming.</c:v>
                </c:pt>
                <c:pt idx="2">
                  <c:v>Technical Design.</c:v>
                </c:pt>
                <c:pt idx="3">
                  <c:v>Development Process.</c:v>
                </c:pt>
                <c:pt idx="4">
                  <c:v>Testing.</c:v>
                </c:pt>
              </c:strCache>
            </c:strRef>
          </c:cat>
          <c:val>
            <c:numRef>
              <c:f>Summary!$B$146:$B$150</c:f>
              <c:numCache>
                <c:formatCode>0.00%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A0-4D0B-B1EC-4420A07EE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35535536"/>
        <c:axId val="535533240"/>
      </c:barChart>
      <c:catAx>
        <c:axId val="53553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33240"/>
        <c:crosses val="autoZero"/>
        <c:auto val="1"/>
        <c:lblAlgn val="ctr"/>
        <c:lblOffset val="100"/>
        <c:noMultiLvlLbl val="0"/>
      </c:catAx>
      <c:valAx>
        <c:axId val="5355332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3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[Template.xlsm]Summary!PivotTable2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Progress by Tower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Summary!$A$122:$A$123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Summary!$B$122:$B$123</c:f>
              <c:numCache>
                <c:formatCode>0.00%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2-4EF1-ACED-AC0655AAB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6894536"/>
        <c:axId val="546889944"/>
      </c:barChart>
      <c:catAx>
        <c:axId val="54689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89944"/>
        <c:crosses val="autoZero"/>
        <c:auto val="1"/>
        <c:lblAlgn val="ctr"/>
        <c:lblOffset val="100"/>
        <c:noMultiLvlLbl val="0"/>
      </c:catAx>
      <c:valAx>
        <c:axId val="5468899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94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164</xdr:row>
      <xdr:rowOff>0</xdr:rowOff>
    </xdr:from>
    <xdr:to>
      <xdr:col>19</xdr:col>
      <xdr:colOff>7620</xdr:colOff>
      <xdr:row>186</xdr:row>
      <xdr:rowOff>121920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A93447C-F5F5-4EC9-A9BB-7690DA2D6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192</xdr:row>
      <xdr:rowOff>0</xdr:rowOff>
    </xdr:from>
    <xdr:to>
      <xdr:col>17</xdr:col>
      <xdr:colOff>22860</xdr:colOff>
      <xdr:row>215</xdr:row>
      <xdr:rowOff>91440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9AA0C1D-DC67-43E8-835B-BF310C42C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142</xdr:row>
      <xdr:rowOff>0</xdr:rowOff>
    </xdr:from>
    <xdr:to>
      <xdr:col>19</xdr:col>
      <xdr:colOff>0</xdr:colOff>
      <xdr:row>160</xdr:row>
      <xdr:rowOff>45720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01A77DD-6D96-4686-B826-A5F1D27E5C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120</xdr:row>
      <xdr:rowOff>0</xdr:rowOff>
    </xdr:from>
    <xdr:to>
      <xdr:col>19</xdr:col>
      <xdr:colOff>7620</xdr:colOff>
      <xdr:row>141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E125FC6-6B98-44C3-A08B-825C06686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uez, Ray" refreshedDate="43550.677807638887" createdVersion="6" refreshedVersion="6" minRefreshableVersion="3" recordCount="1" xr:uid="{A16033C9-BA9B-4910-8C25-2EDDFF2DC6DE}">
  <cacheSource type="worksheet">
    <worksheetSource name="Status"/>
  </cacheSource>
  <cacheFields count="48">
    <cacheField name="Jira ID" numFmtId="49">
      <sharedItems containsNonDate="0" containsString="0" containsBlank="1"/>
    </cacheField>
    <cacheField name="Story" numFmtId="49">
      <sharedItems containsNonDate="0" containsString="0" containsBlank="1"/>
    </cacheField>
    <cacheField name="Grooming Sessions" numFmtId="1">
      <sharedItems containsNonDate="0" containsString="0" containsBlank="1"/>
    </cacheField>
    <cacheField name="Wireframe" numFmtId="1">
      <sharedItems containsNonDate="0" containsString="0" containsBlank="1"/>
    </cacheField>
    <cacheField name="VD" numFmtId="1">
      <sharedItems containsNonDate="0" containsString="0" containsBlank="1"/>
    </cacheField>
    <cacheField name="Business Approval" numFmtId="1">
      <sharedItems containsNonDate="0" containsString="0" containsBlank="1"/>
    </cacheField>
    <cacheField name="Pre-review" numFmtId="1">
      <sharedItems containsNonDate="0" containsString="0" containsBlank="1"/>
    </cacheField>
    <cacheField name="Analysis" numFmtId="1">
      <sharedItems containsNonDate="0" containsString="0" containsBlank="1"/>
    </cacheField>
    <cacheField name="Initial Technical Draft" numFmtId="1">
      <sharedItems containsNonDate="0" containsString="0" containsBlank="1"/>
    </cacheField>
    <cacheField name="Initial Estimation" numFmtId="1">
      <sharedItems containsNonDate="0" containsString="0" containsBlank="1"/>
    </cacheField>
    <cacheField name="Ready for Dev Team review" numFmtId="1">
      <sharedItems containsNonDate="0" containsString="0" containsBlank="1"/>
    </cacheField>
    <cacheField name="Techincal Design Document" numFmtId="1">
      <sharedItems containsNonDate="0" containsString="0" containsBlank="1"/>
    </cacheField>
    <cacheField name="Final Estimation" numFmtId="1">
      <sharedItems containsNonDate="0" containsString="0" containsBlank="1"/>
    </cacheField>
    <cacheField name="Ready for Development" numFmtId="1">
      <sharedItems containsNonDate="0" containsString="0" containsBlank="1"/>
    </cacheField>
    <cacheField name="Development" numFmtId="1">
      <sharedItems containsNonDate="0" containsString="0" containsBlank="1"/>
    </cacheField>
    <cacheField name="Test Data" numFmtId="1">
      <sharedItems containsNonDate="0" containsString="0" containsBlank="1"/>
    </cacheField>
    <cacheField name="Unit Testing" numFmtId="1">
      <sharedItems containsNonDate="0" containsString="0" containsBlank="1"/>
    </cacheField>
    <cacheField name="Peer Review" numFmtId="1">
      <sharedItems containsNonDate="0" containsString="0" containsBlank="1"/>
    </cacheField>
    <cacheField name="Mock Deployment" numFmtId="1">
      <sharedItems containsNonDate="0" containsString="0" containsBlank="1"/>
    </cacheField>
    <cacheField name="SonarQube" numFmtId="1">
      <sharedItems containsNonDate="0" containsString="0" containsBlank="1"/>
    </cacheField>
    <cacheField name="Pull Request" numFmtId="1">
      <sharedItems containsNonDate="0" containsString="0" containsBlank="1"/>
    </cacheField>
    <cacheField name="Update TDD, Data Dictionary and Jira" numFmtId="1">
      <sharedItems containsNonDate="0" containsString="0" containsBlank="1"/>
    </cacheField>
    <cacheField name="ACECI" numFmtId="1">
      <sharedItems containsNonDate="0" containsString="0" containsBlank="1"/>
    </cacheField>
    <cacheField name="ACESIT" numFmtId="1">
      <sharedItems containsNonDate="0" containsString="0" containsBlank="1"/>
    </cacheField>
    <cacheField name="ACEUAT" numFmtId="1">
      <sharedItems containsNonDate="0" containsString="0" containsBlank="1"/>
    </cacheField>
    <cacheField name="ACEPerform" numFmtId="1">
      <sharedItems containsNonDate="0" containsString="0" containsBlank="1"/>
    </cacheField>
    <cacheField name="ACEMock" numFmtId="1">
      <sharedItems containsNonDate="0" containsString="0" containsBlank="1"/>
    </cacheField>
    <cacheField name="Production" numFmtId="1">
      <sharedItems containsNonDate="0" containsString="0" containsBlank="1"/>
    </cacheField>
    <cacheField name="Status" numFmtId="49">
      <sharedItems containsNonDate="0" containsString="0" containsBlank="1" containsNumber="1" containsInteger="1" minValue="1" maxValue="13" count="7">
        <m/>
        <n v="3" u="1"/>
        <n v="13" u="1"/>
        <n v="8" u="1"/>
        <n v="2" u="1"/>
        <n v="1" u="1"/>
        <n v="5" u="1"/>
      </sharedItems>
    </cacheField>
    <cacheField name="Estimated" numFmtId="1">
      <sharedItems containsNonDate="0" containsString="0" containsBlank="1"/>
    </cacheField>
    <cacheField name="Actual" numFmtId="1">
      <sharedItems containsNonDate="0" containsString="0" containsBlank="1"/>
    </cacheField>
    <cacheField name="Process Tower" numFmtId="49">
      <sharedItems containsNonDate="0" containsBlank="1" count="33">
        <m/>
        <s v="View Prescription Costs" u="1"/>
        <s v="Member" u="1"/>
        <s v="Benefit and Transparency" u="1"/>
        <s v="View Case Summary" u="1"/>
        <s v="View Prior Authorization" u="1"/>
        <s v="View Claim Summary - Medical" u="1"/>
        <s v="Claims" u="1"/>
        <s v="Claims &amp; Appeals" u="1"/>
        <s v="View Member's PCP" u="1"/>
        <s v="Claims Appeals and Care Coordination" u="1"/>
        <s v="Holistic Customer Dashboard Framework" u="1"/>
        <s v="Access Benefit Details" u="1"/>
        <s v="Benefits &amp; Transparency" u="1"/>
        <s v="Member Management" u="1"/>
        <s v="Schedule Provider Appointment" u="1"/>
        <s v="Receive Personalized Incentives/Rewards" u="1"/>
        <s v="View Member's Demographic Information" u="1"/>
        <s v="View Understand Appeal Information" u="1"/>
        <s v="BVA Call Requirement" u="1"/>
        <s v="Foundational" u="1"/>
        <s v="View Claim History Pharmacy" u="1"/>
        <s v="View Claim Summary - Pharmacy" u="1"/>
        <s v="View Claims Details - Pharmacy" u="1"/>
        <s v="Create Claim Case" u="1"/>
        <s v="View Member Health Finance Dashboard" u="1"/>
        <s v="Submit Prior Authorization" u="1"/>
        <s v="View Accumulator Summary" u="1"/>
        <s v="Search for a Provider" u="1"/>
        <s v="Receive Health Benefit Eductaion Guide" u="1"/>
        <s v="View Communication Preferences" u="1"/>
        <s v="Benefits" u="1"/>
        <s v="View Prior Authorizations" u="1"/>
      </sharedItems>
    </cacheField>
    <cacheField name="Feature" numFmtId="49">
      <sharedItems containsNonDate="0" containsBlank="1" count="115">
        <m/>
        <s v="Access Member Related Documentation" u="1"/>
        <s v="Pre-work" u="1"/>
        <s v="View Claim History Pharmacy" u="1"/>
        <s v="Create Claim Case" u="1"/>
        <s v="Inbound Calls" u="1"/>
        <s v="Premier Code Look Up" u="1"/>
        <s v="View Employer Group Details" u="1"/>
        <s v="TBD" u="1"/>
        <s v="View Accumulator Summary" u="1"/>
        <s v="Track Calls" u="1"/>
        <s v="View Appeals History" u="1"/>
        <s v="Manage Follow-up Tasks" u="1"/>
        <s v="View Broadcast Messages" u="1"/>
        <s v="Update member's Address Information" u="1"/>
        <s v="View Alert" u="1"/>
        <s v="HIPAA Authorizations" u="1"/>
        <s v="View Prescription Costs" u="1"/>
        <s v="View Family" u="1"/>
        <s v="Automatic Case creation from IVR " u="1"/>
        <s v="View Case History - Medical" u="1"/>
        <s v="Technical Debt" u="1"/>
        <s v="View Member's PCP" u="1"/>
        <s v="Not Provided" u="1"/>
        <s v="View Claim Details – Pharmacy" u="1"/>
        <s v="View Claim Summary - Pharmacy" u="1"/>
        <s v="Receive Personalized Incentives/Rewards" u="1"/>
        <s v="Create/Update Broadcast Messages" u="1"/>
        <s v="View Plan Summary" u="1"/>
        <s v="View Member's Demographics Information" u="1"/>
        <s v="Claims" u="1"/>
        <s v="Email Exchange" u="1"/>
        <s v="View Member Health Finance Dashboard" u="1"/>
        <s v="View Claims History - Pharmacy/View Plan History" u="1"/>
        <s v="Search for a Provider" u="1"/>
        <s v="Add / Change HIPAA Authorization / POA" u="1"/>
        <s v="Add / Change Account Details and Preferences for Member" u="1"/>
        <s v="View Understand Appeal Information" u="1"/>
        <s v="Member Seach" u="1"/>
        <s v="View Case Summary" u="1"/>
        <s v=" Compare Group Health Plans Options" u="1"/>
        <s v="View Prior Authorizations" u="1"/>
        <s v="View Benefits Usage / Accumulator - Pharmacy" u="1"/>
        <s v="View COB Information" u="1"/>
        <s v="Access Benefit Details - Benefit Navigator" u="1"/>
        <s v="Batch-load interactions into IH" u="1"/>
        <s v="Member Interaction History" u="1"/>
        <s v="Add/Change Details and Preferences for Member" u="1"/>
        <s v="HIPAA Model" u="1"/>
        <s v="View COB History" u="1"/>
        <s v="Update Alerts" u="1"/>
        <s v="Member Incentives" u="1"/>
        <s v="add/change account details and preferences" u="1"/>
        <s v="View Claims Details" u="1"/>
        <s v="User Roles &amp; Profiles" u="1"/>
        <s v="View Claims History - Medical" u="1"/>
        <s v="View HIPAA Authorization Indicator" u="1"/>
        <s v="ViewCliamDetail- Medical" u="1"/>
        <s v="Outbound Calls" u="1"/>
        <s v="Enable Internal Collaboration (Chatter)" u="1"/>
        <s v="View Accumulator Summary - Pharmacy" u="1"/>
        <s v="Access Benefit Details - RTB" u="1"/>
        <s v="ACE263" u="1"/>
        <s v="Access Benefit Details" u="1"/>
        <s v="View Claim Summary - Medical" u="1"/>
        <s v="View Claims Detail medical" u="1"/>
        <s v="Seed" u="1"/>
        <s v="TBD " u="1"/>
        <s v="View Benefits Usage / Accumulator - Medical" u="1"/>
        <s v="Create_Claims_Cases" u="1"/>
        <s v="View Responsible Party" u="1"/>
        <s v="Member Search" u="1"/>
        <s v="Submit Prior Authorization" u="1"/>
        <s v="Deeplinks/SSO to Third party Applications" u="1"/>
        <s v="Deeplinks/SSO_to_Third_Party_Applications" u="1"/>
        <s v="Assign Alert" u="1"/>
        <s v="View Member's Demographic Information" u="1"/>
        <s v="Assign Broadcast Messages" u="1"/>
        <s v="Scrum" u="1"/>
        <s v="Dev Task" u="1"/>
        <s v="Holistic Customer Dashboard Framework" u="1"/>
        <s v="Manual Case Creation" u="1"/>
        <s v="ACE-251" u="1"/>
        <s v="View Appeals Summary" u="1"/>
        <s v="Schedule Provider Appointment" u="1"/>
        <s v="Legacy Case View" u="1"/>
        <s v="View Plan History" u="1"/>
        <s v="View Communication Preferences" u="1"/>
        <s v="Member Password" u="1"/>
        <s v="View Claim Details – Medical" u="1"/>
        <s v="Prospect Member" u="1"/>
        <s v="View Prior Authorization" u="1"/>
        <s v="Password" u="1"/>
        <s v="Member Management Indicators" u="1"/>
        <s v="view members demogrpahic information" u="1"/>
        <s v="Transfer Calls / Conference" u="1"/>
        <s v="IVR authenticated/non-authenticated screen pop" u="1"/>
        <s v="Receive Health Benefit Eductaion Guide" u="1"/>
        <s v="View Claim Summary" u="1"/>
        <s v="BVA Call Requirement" u="1"/>
        <s v="Auto Case Creation from IVR" u="1"/>
        <s v="HIPAA Modal" u="1"/>
        <s v="Case Audit History" u="1"/>
        <s v="Create/Update Benefits Case" u="1"/>
        <s v="View Predetermination" u="1"/>
        <s v="Benefits" u="1"/>
        <s v="View Plan Sumary" u="1"/>
        <s v="Case Summary" u="1"/>
        <s v="N / A" u="1"/>
        <s v="View Claims Details - Pharmacy" u="1"/>
        <s v="View Claims History - Pharmacy" u="1"/>
        <s v="View Claims Summary - Pharmacy" u="1"/>
        <s v="ACE-245" u="1"/>
        <s v="Re-order ID Card" u="1"/>
        <s v="View Claims Summary" u="1"/>
      </sharedItems>
    </cacheField>
    <cacheField name="Feature Jira Id" numFmtId="49">
      <sharedItems containsNonDate="0" containsString="0" containsBlank="1"/>
    </cacheField>
    <cacheField name="Dev Team" numFmtId="49">
      <sharedItems containsNonDate="0" containsString="0" containsBlank="1"/>
    </cacheField>
    <cacheField name="Current Owner" numFmtId="49">
      <sharedItems containsNonDate="0" containsString="0" containsBlank="1"/>
    </cacheField>
    <cacheField name="Comments" numFmtId="49">
      <sharedItems containsNonDate="0" containsString="0" containsBlank="1"/>
    </cacheField>
    <cacheField name="Sprint allocation" numFmtId="49">
      <sharedItems containsNonDate="0" containsString="0" containsBlank="1" containsNumber="1" containsInteger="1" minValue="1" maxValue="43543" count="19">
        <m/>
        <n v="43494" u="1"/>
        <n v="43543" u="1"/>
        <n v="5" u="1"/>
        <n v="43481" u="1"/>
        <n v="43490" u="1"/>
        <n v="2" u="1"/>
        <n v="6" u="1"/>
        <n v="43488" u="1"/>
        <n v="43495" u="1"/>
        <n v="7" u="1"/>
        <n v="43493" u="1"/>
        <n v="1" u="1"/>
        <n v="3" u="1"/>
        <n v="8" u="1"/>
        <n v="43518" u="1"/>
        <n v="43516" u="1"/>
        <n v="4" u="1"/>
        <n v="43474" u="1"/>
      </sharedItems>
    </cacheField>
    <cacheField name="Target CI Deployment" numFmtId="14">
      <sharedItems containsNonDate="0" containsString="0" containsBlank="1"/>
    </cacheField>
    <cacheField name="Integration Dependency" numFmtId="49">
      <sharedItems containsNonDate="0" containsString="0" containsBlank="1"/>
    </cacheField>
    <cacheField name="Type" numFmtId="49">
      <sharedItems containsNonDate="0" containsBlank="1" count="6">
        <m/>
        <s v="Story" u="1"/>
        <s v="Dev Task" u="1"/>
        <s v="No" u="1"/>
        <s v="Defect" u="1"/>
        <s v="Yes" u="1"/>
      </sharedItems>
    </cacheField>
    <cacheField name="MuleSoft Story" numFmtId="49">
      <sharedItems containsNonDate="0" containsString="0" containsBlank="1"/>
    </cacheField>
    <cacheField name="Functional Grooming" numFmtId="10">
      <sharedItems containsSemiMixedTypes="0" containsString="0" containsNumber="1" containsInteger="1" minValue="1" maxValue="1"/>
    </cacheField>
    <cacheField name="Technical Grooming" numFmtId="10">
      <sharedItems containsSemiMixedTypes="0" containsString="0" containsNumber="1" minValue="0" maxValue="1" count="9">
        <n v="1"/>
        <n v="0" u="1"/>
        <n v="0.125" u="1"/>
        <n v="0.625" u="1"/>
        <n v="0.75" u="1"/>
        <n v="0.375" u="1"/>
        <n v="0.875" u="1"/>
        <n v="0.5" u="1"/>
        <n v="0.25" u="1"/>
      </sharedItems>
    </cacheField>
    <cacheField name="Technical Design" numFmtId="10">
      <sharedItems containsSemiMixedTypes="0" containsString="0" containsNumber="1" containsInteger="1" minValue="1" maxValue="1"/>
    </cacheField>
    <cacheField name="Development Process" numFmtId="10">
      <sharedItems containsSemiMixedTypes="0" containsString="0" containsNumber="1" containsInteger="1" minValue="1" maxValue="1"/>
    </cacheField>
    <cacheField name="Testing" numFmtId="10">
      <sharedItems containsSemiMixedTypes="0" containsString="0" containsNumber="1" containsInteger="1" minValue="1" maxValue="1"/>
    </cacheField>
    <cacheField name="Overall" numFmtId="1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x v="0"/>
    <x v="0"/>
    <m/>
    <m/>
    <m/>
    <m/>
    <x v="0"/>
    <m/>
    <m/>
    <x v="0"/>
    <m/>
    <n v="1"/>
    <x v="0"/>
    <n v="1"/>
    <n v="1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6D6B9D-98FC-407C-B891-F6AC1312020B}" name="PivotTable1" cacheId="8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outline="1" outlineData="1" multipleFieldFilters="0" chartFormat="5" rowHeaderCaption="Features">
  <location ref="A5:G7" firstHeaderRow="0" firstDataRow="1" firstDataCol="1" rowPageCount="3" colPageCount="1"/>
  <pivotFields count="48"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axis="axisPage" showAll="0">
      <items count="34">
        <item m="1" x="10"/>
        <item m="1" x="20"/>
        <item m="1" x="14"/>
        <item m="1" x="3"/>
        <item x="0"/>
        <item m="1" x="8"/>
        <item m="1" x="13"/>
        <item m="1" x="18"/>
        <item m="1" x="31"/>
        <item m="1" x="23"/>
        <item m="1" x="22"/>
        <item m="1" x="6"/>
        <item m="1" x="4"/>
        <item m="1" x="24"/>
        <item m="1" x="21"/>
        <item m="1" x="7"/>
        <item m="1" x="2"/>
        <item m="1" x="11"/>
        <item m="1" x="30"/>
        <item m="1" x="17"/>
        <item m="1" x="26"/>
        <item m="1" x="27"/>
        <item m="1" x="28"/>
        <item m="1" x="5"/>
        <item m="1" x="9"/>
        <item m="1" x="29"/>
        <item m="1" x="1"/>
        <item m="1" x="12"/>
        <item m="1" x="15"/>
        <item m="1" x="19"/>
        <item m="1" x="25"/>
        <item m="1" x="16"/>
        <item m="1" x="32"/>
        <item t="default"/>
      </items>
    </pivotField>
    <pivotField axis="axisRow" showAll="0">
      <items count="116">
        <item sd="0" m="1" x="36"/>
        <item sd="0" m="1" x="5"/>
        <item sd="0" m="1" x="12"/>
        <item sd="0" m="1" x="81"/>
        <item sd="0" m="1" x="10"/>
        <item sd="0" m="1" x="39"/>
        <item sd="0" m="1" x="110"/>
        <item sd="0" m="1" x="86"/>
        <item sd="0" m="1" x="28"/>
        <item sd="0" x="0"/>
        <item m="1" x="71"/>
        <item m="1" x="18"/>
        <item m="1" x="46"/>
        <item m="1" x="38"/>
        <item m="1" x="92"/>
        <item m="1" x="47"/>
        <item m="1" x="30"/>
        <item m="1" x="80"/>
        <item m="1" x="54"/>
        <item m="1" x="87"/>
        <item m="1" x="76"/>
        <item m="1" x="9"/>
        <item m="1" x="72"/>
        <item m="1" x="21"/>
        <item m="1" x="114"/>
        <item m="1" x="109"/>
        <item m="1" x="25"/>
        <item m="1" x="64"/>
        <item m="1" x="16"/>
        <item m="1" x="34"/>
        <item m="1" x="37"/>
        <item m="1" x="4"/>
        <item m="1" x="3"/>
        <item m="1" x="105"/>
        <item m="1" x="66"/>
        <item m="1" x="7"/>
        <item m="1" x="27"/>
        <item m="1" x="77"/>
        <item m="1" x="13"/>
        <item m="1" x="31"/>
        <item m="1" x="91"/>
        <item m="1" x="22"/>
        <item m="1" x="78"/>
        <item m="1" x="70"/>
        <item m="1" x="56"/>
        <item m="1" x="97"/>
        <item m="1" x="102"/>
        <item m="1" x="53"/>
        <item m="1" x="107"/>
        <item m="1" x="35"/>
        <item m="1" x="33"/>
        <item m="1" x="57"/>
        <item m="1" x="74"/>
        <item m="1" x="111"/>
        <item m="1" x="106"/>
        <item m="1" x="58"/>
        <item m="1" x="45"/>
        <item m="1" x="100"/>
        <item m="1" x="20"/>
        <item m="1" x="89"/>
        <item m="1" x="65"/>
        <item m="1" x="88"/>
        <item m="1" x="19"/>
        <item m="1" x="2"/>
        <item m="1" x="51"/>
        <item m="1" x="48"/>
        <item m="1" x="52"/>
        <item m="1" x="49"/>
        <item m="1" x="113"/>
        <item m="1" x="94"/>
        <item m="1" x="83"/>
        <item m="1" x="55"/>
        <item m="1" x="96"/>
        <item m="1" x="23"/>
        <item m="1" x="11"/>
        <item m="1" x="98"/>
        <item m="1" x="112"/>
        <item m="1" x="82"/>
        <item m="1" x="62"/>
        <item m="1" x="17"/>
        <item m="1" x="63"/>
        <item m="1" x="84"/>
        <item m="1" x="99"/>
        <item m="1" x="32"/>
        <item m="1" x="26"/>
        <item m="1" x="41"/>
        <item m="1" x="67"/>
        <item m="1" x="6"/>
        <item m="1" x="103"/>
        <item m="1" x="69"/>
        <item m="1" x="108"/>
        <item m="1" x="68"/>
        <item m="1" x="60"/>
        <item m="1" x="42"/>
        <item m="1" x="104"/>
        <item m="1" x="40"/>
        <item m="1" x="61"/>
        <item m="1" x="44"/>
        <item m="1" x="79"/>
        <item m="1" x="15"/>
        <item m="1" x="75"/>
        <item m="1" x="50"/>
        <item m="1" x="8"/>
        <item m="1" x="85"/>
        <item m="1" x="95"/>
        <item m="1" x="93"/>
        <item m="1" x="24"/>
        <item m="1" x="90"/>
        <item m="1" x="14"/>
        <item m="1" x="101"/>
        <item m="1" x="73"/>
        <item m="1" x="1"/>
        <item m="1" x="29"/>
        <item m="1" x="43"/>
        <item m="1" x="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m="1" x="1"/>
        <item m="1" x="4"/>
        <item x="0"/>
        <item m="1" x="2"/>
        <item m="1" x="3"/>
        <item m="1" x="5"/>
        <item t="default"/>
      </items>
    </pivotField>
    <pivotField showAll="0"/>
    <pivotField dataField="1" numFmtId="10" showAll="0"/>
    <pivotField axis="axisPage" dataField="1" numFmtId="10" showAll="0">
      <items count="10">
        <item m="1" x="1"/>
        <item m="1" x="2"/>
        <item m="1" x="8"/>
        <item m="1" x="5"/>
        <item m="1" x="7"/>
        <item m="1" x="3"/>
        <item m="1" x="4"/>
        <item m="1" x="6"/>
        <item x="0"/>
        <item t="default"/>
      </items>
    </pivotField>
    <pivotField dataField="1" numFmtId="10" showAll="0"/>
    <pivotField dataField="1" numFmtId="10" showAll="0"/>
    <pivotField dataField="1" numFmtId="10" showAll="0"/>
    <pivotField dataField="1" numFmtId="10" showAll="0"/>
  </pivotFields>
  <rowFields count="1">
    <field x="32"/>
  </rowFields>
  <rowItems count="2">
    <i>
      <x v="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3">
    <pageField fld="40" hier="-1"/>
    <pageField fld="31" hier="-1"/>
    <pageField fld="43" hier="-1"/>
  </pageFields>
  <dataFields count="6">
    <dataField name="Functional Grooming." fld="42" subtotal="average" baseField="35" baseItem="0"/>
    <dataField name="Technical Grooming." fld="43" subtotal="average" baseField="35" baseItem="0"/>
    <dataField name="Technical Design." fld="44" subtotal="average" baseField="35" baseItem="0"/>
    <dataField name="Development Process." fld="45" subtotal="average" baseField="35" baseItem="0"/>
    <dataField name="Testing." fld="46" subtotal="average" baseField="35" baseItem="0"/>
    <dataField name="Overall." fld="47" subtotal="average" baseField="35" baseItem="0"/>
  </dataFields>
  <formats count="2">
    <format dxfId="229">
      <pivotArea outline="0" collapsedLevelsAreSubtotals="1" fieldPosition="0"/>
    </format>
    <format dxfId="228">
      <pivotArea dataOnly="0" labelOnly="1" outline="0" axis="axisValues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5"/>
            </reference>
            <reference field="32" count="10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4"/>
              <x v="15"/>
              <x v="17"/>
              <x v="19"/>
              <x v="20"/>
              <x v="22"/>
              <x v="23"/>
              <x v="24"/>
              <x v="25"/>
              <x v="26"/>
              <x v="27"/>
              <x v="29"/>
              <x v="30"/>
              <x v="31"/>
              <x v="32"/>
              <x v="33"/>
              <x v="35"/>
              <x v="39"/>
              <x v="40"/>
              <x v="41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4"/>
              <x v="75"/>
              <x v="79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1A02C7-A960-4645-9011-1FDFB75555C2}" name="PivotTable5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6">
  <location ref="A196:C199" firstHeaderRow="1" firstDataRow="2" firstDataCol="1" rowPageCount="2" colPageCount="1"/>
  <pivotFields count="48"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axis="axisCol" showAll="0">
      <items count="8">
        <item m="1" x="6"/>
        <item m="1" x="4"/>
        <item m="1" x="5"/>
        <item m="1" x="1"/>
        <item m="1" x="3"/>
        <item m="1" x="2"/>
        <item x="0"/>
        <item t="default"/>
      </items>
    </pivotField>
    <pivotField dataField="1" showAll="0"/>
    <pivotField showAll="0"/>
    <pivotField axis="axisRow" showAll="0">
      <items count="34">
        <item m="1" x="3"/>
        <item m="1" x="8"/>
        <item m="1" x="10"/>
        <item m="1" x="20"/>
        <item m="1" x="14"/>
        <item x="0"/>
        <item m="1" x="13"/>
        <item m="1" x="18"/>
        <item m="1" x="31"/>
        <item m="1" x="23"/>
        <item m="1" x="22"/>
        <item m="1" x="6"/>
        <item m="1" x="4"/>
        <item m="1" x="24"/>
        <item m="1" x="21"/>
        <item m="1" x="7"/>
        <item m="1" x="2"/>
        <item m="1" x="11"/>
        <item m="1" x="30"/>
        <item m="1" x="17"/>
        <item m="1" x="26"/>
        <item m="1" x="27"/>
        <item m="1" x="28"/>
        <item m="1" x="5"/>
        <item m="1" x="9"/>
        <item m="1" x="29"/>
        <item m="1" x="1"/>
        <item m="1" x="12"/>
        <item m="1" x="15"/>
        <item m="1" x="19"/>
        <item m="1" x="25"/>
        <item m="1" x="16"/>
        <item m="1" x="32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0">
        <item m="1" x="12"/>
        <item m="1" x="6"/>
        <item m="1" x="13"/>
        <item m="1" x="17"/>
        <item m="1" x="3"/>
        <item m="1" x="7"/>
        <item x="0"/>
        <item m="1" x="10"/>
        <item m="1" x="14"/>
        <item m="1" x="8"/>
        <item m="1" x="18"/>
        <item m="1" x="11"/>
        <item m="1" x="4"/>
        <item m="1" x="9"/>
        <item m="1" x="5"/>
        <item m="1" x="1"/>
        <item m="1" x="16"/>
        <item m="1" x="15"/>
        <item m="1" x="2"/>
        <item t="default"/>
      </items>
    </pivotField>
    <pivotField showAll="0"/>
    <pivotField showAll="0"/>
    <pivotField axis="axisPage" showAll="0">
      <items count="7">
        <item m="1" x="4"/>
        <item m="1" x="1"/>
        <item x="0"/>
        <item m="1" x="2"/>
        <item m="1" x="3"/>
        <item m="1" x="5"/>
        <item t="default"/>
      </items>
    </pivotField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31"/>
  </rowFields>
  <rowItems count="2">
    <i>
      <x v="5"/>
    </i>
    <i t="grand">
      <x/>
    </i>
  </rowItems>
  <colFields count="1">
    <field x="28"/>
  </colFields>
  <colItems count="2">
    <i>
      <x v="6"/>
    </i>
    <i t="grand">
      <x/>
    </i>
  </colItems>
  <pageFields count="2">
    <pageField fld="40" item="2" hier="-1"/>
    <pageField fld="37" item="6" hier="-1"/>
  </pageFields>
  <dataFields count="1">
    <dataField name="Sum of Estimated" fld="29" baseField="0" baseItem="0"/>
  </dataFields>
  <chartFormats count="1">
    <chartFormat chart="25" format="39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ACCC02-03E6-465C-93A6-1D1E20D0AD1D}" name="PivotTable3" cacheId="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>
  <location ref="A145:B150" firstHeaderRow="1" firstDataRow="1" firstDataCol="1" rowPageCount="1" colPageCount="1"/>
  <pivotFields count="48"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axis="axisPage" showAll="0">
      <items count="34">
        <item m="1" x="3"/>
        <item m="1" x="8"/>
        <item m="1" x="10"/>
        <item m="1" x="20"/>
        <item m="1" x="14"/>
        <item x="0"/>
        <item m="1" x="13"/>
        <item m="1" x="18"/>
        <item m="1" x="31"/>
        <item m="1" x="23"/>
        <item m="1" x="22"/>
        <item m="1" x="6"/>
        <item m="1" x="4"/>
        <item m="1" x="24"/>
        <item m="1" x="21"/>
        <item m="1" x="7"/>
        <item m="1" x="2"/>
        <item m="1" x="11"/>
        <item m="1" x="30"/>
        <item m="1" x="17"/>
        <item m="1" x="26"/>
        <item m="1" x="27"/>
        <item m="1" x="28"/>
        <item m="1" x="5"/>
        <item m="1" x="9"/>
        <item m="1" x="29"/>
        <item m="1" x="1"/>
        <item m="1" x="12"/>
        <item m="1" x="15"/>
        <item m="1" x="19"/>
        <item m="1" x="25"/>
        <item m="1" x="16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numFmtId="10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pageFields count="1">
    <pageField fld="31" hier="-1"/>
  </pageFields>
  <dataFields count="5">
    <dataField name="Functional Grooming." fld="42" subtotal="average" baseField="0" baseItem="1"/>
    <dataField name="Technical Grooming." fld="43" subtotal="average" baseField="0" baseItem="1"/>
    <dataField name="Technical Design." fld="44" subtotal="average" baseField="0" baseItem="1"/>
    <dataField name="Development Process." fld="45" subtotal="average" baseField="0" baseItem="1"/>
    <dataField name="Testing." fld="46" subtotal="average" baseField="0" baseItem="1"/>
  </dataFields>
  <formats count="1">
    <format dxfId="230">
      <pivotArea outline="0" collapsedLevelsAreSubtotals="1" fieldPosition="0"/>
    </format>
  </formats>
  <chartFormats count="23">
    <chartFormat chart="0" format="9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9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9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9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8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99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00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10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04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05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06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19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9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9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0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20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202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2B4CB9-1A7D-4946-BAB5-FF9442564DCF}" name="PivotTable4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>
  <location ref="A168:C171" firstHeaderRow="1" firstDataRow="2" firstDataCol="1" rowPageCount="2" colPageCount="1"/>
  <pivotFields count="48">
    <pivotField dataField="1"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axis="axisCol" showAll="0">
      <items count="8">
        <item m="1" x="6"/>
        <item m="1" x="4"/>
        <item m="1" x="5"/>
        <item m="1" x="1"/>
        <item m="1" x="3"/>
        <item m="1" x="2"/>
        <item x="0"/>
        <item t="default"/>
      </items>
    </pivotField>
    <pivotField showAll="0"/>
    <pivotField showAll="0"/>
    <pivotField axis="axisRow" showAll="0">
      <items count="34">
        <item m="1" x="3"/>
        <item m="1" x="8"/>
        <item m="1" x="10"/>
        <item m="1" x="20"/>
        <item m="1" x="14"/>
        <item x="0"/>
        <item m="1" x="13"/>
        <item m="1" x="18"/>
        <item m="1" x="31"/>
        <item m="1" x="23"/>
        <item m="1" x="22"/>
        <item m="1" x="6"/>
        <item m="1" x="4"/>
        <item m="1" x="24"/>
        <item m="1" x="21"/>
        <item m="1" x="7"/>
        <item m="1" x="2"/>
        <item m="1" x="11"/>
        <item m="1" x="30"/>
        <item m="1" x="17"/>
        <item m="1" x="26"/>
        <item m="1" x="27"/>
        <item m="1" x="28"/>
        <item m="1" x="5"/>
        <item m="1" x="9"/>
        <item m="1" x="29"/>
        <item m="1" x="1"/>
        <item m="1" x="12"/>
        <item m="1" x="15"/>
        <item m="1" x="19"/>
        <item m="1" x="25"/>
        <item m="1" x="16"/>
        <item m="1" x="32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0">
        <item m="1" x="12"/>
        <item m="1" x="6"/>
        <item m="1" x="13"/>
        <item m="1" x="17"/>
        <item m="1" x="3"/>
        <item m="1" x="7"/>
        <item x="0"/>
        <item m="1" x="10"/>
        <item m="1" x="14"/>
        <item m="1" x="8"/>
        <item m="1" x="18"/>
        <item m="1" x="11"/>
        <item m="1" x="4"/>
        <item m="1" x="9"/>
        <item m="1" x="5"/>
        <item m="1" x="1"/>
        <item m="1" x="16"/>
        <item m="1" x="15"/>
        <item m="1" x="2"/>
        <item t="default"/>
      </items>
    </pivotField>
    <pivotField showAll="0"/>
    <pivotField showAll="0"/>
    <pivotField axis="axisPage" showAll="0">
      <items count="7">
        <item m="1" x="4"/>
        <item m="1" x="1"/>
        <item x="0"/>
        <item m="1" x="2"/>
        <item m="1" x="3"/>
        <item m="1" x="5"/>
        <item t="default"/>
      </items>
    </pivotField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31"/>
  </rowFields>
  <rowItems count="2">
    <i>
      <x v="5"/>
    </i>
    <i t="grand">
      <x/>
    </i>
  </rowItems>
  <colFields count="1">
    <field x="28"/>
  </colFields>
  <colItems count="2">
    <i>
      <x v="6"/>
    </i>
    <i t="grand">
      <x/>
    </i>
  </colItems>
  <pageFields count="2">
    <pageField fld="40" item="2" hier="-1"/>
    <pageField fld="37" hier="-1"/>
  </pageFields>
  <dataFields count="1">
    <dataField name="Count of Jira ID" fld="0" subtotal="count" baseField="0" baseItem="0"/>
  </dataFields>
  <chartFormats count="2"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87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D9B46F-E58E-4006-9BE0-F7337744F77C}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 rowHeaderCaption="Towers">
  <location ref="A121:B123" firstHeaderRow="1" firstDataRow="1" firstDataCol="1"/>
  <pivotFields count="48"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axis="axisRow" showAll="0">
      <items count="34">
        <item m="1" x="3"/>
        <item m="1" x="8"/>
        <item m="1" x="10"/>
        <item m="1" x="20"/>
        <item m="1" x="14"/>
        <item x="0"/>
        <item m="1" x="13"/>
        <item m="1" x="18"/>
        <item m="1" x="31"/>
        <item m="1" x="23"/>
        <item m="1" x="22"/>
        <item m="1" x="6"/>
        <item m="1" x="4"/>
        <item m="1" x="24"/>
        <item m="1" x="21"/>
        <item m="1" x="7"/>
        <item m="1" x="2"/>
        <item m="1" x="11"/>
        <item m="1" x="30"/>
        <item m="1" x="17"/>
        <item m="1" x="26"/>
        <item m="1" x="27"/>
        <item m="1" x="28"/>
        <item m="1" x="5"/>
        <item m="1" x="9"/>
        <item m="1" x="29"/>
        <item m="1" x="1"/>
        <item m="1" x="12"/>
        <item m="1" x="15"/>
        <item m="1" x="19"/>
        <item m="1" x="25"/>
        <item m="1" x="16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31"/>
  </rowFields>
  <rowItems count="2">
    <i>
      <x v="5"/>
    </i>
    <i t="grand">
      <x/>
    </i>
  </rowItems>
  <colItems count="1">
    <i/>
  </colItems>
  <dataFields count="1">
    <dataField name="Average" fld="47" subtotal="average" baseField="34" baseItem="0" numFmtId="10"/>
  </dataFields>
  <formats count="1">
    <format dxfId="231">
      <pivotArea outline="0" collapsedLevelsAreSubtotals="1" fieldPosition="0"/>
    </format>
  </formats>
  <chartFormats count="5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atus" displayName="Status" ref="A2:AV4" totalsRowCount="1" headerRowDxfId="225" dataDxfId="224" totalsRowDxfId="223">
  <autoFilter ref="A2:AV3" xr:uid="{00000000-0009-0000-0100-000001000000}"/>
  <tableColumns count="48">
    <tableColumn id="1" xr3:uid="{00000000-0010-0000-0000-000001000000}" name="Jira ID" dataDxfId="222" totalsRowDxfId="221"/>
    <tableColumn id="2" xr3:uid="{00000000-0010-0000-0000-000002000000}" name="Story" dataDxfId="220" totalsRowDxfId="219"/>
    <tableColumn id="21" xr3:uid="{14FA3E8C-7F0E-436B-82A8-77D92ACD0BB6}" name="Grooming Sessions" dataDxfId="218" totalsRowDxfId="217"/>
    <tableColumn id="16" xr3:uid="{914FF653-942D-4E51-B5E1-3B34D033B58D}" name="Wireframe" dataDxfId="216" totalsRowDxfId="215"/>
    <tableColumn id="7" xr3:uid="{0BEC37B2-8B28-4400-A4DC-FD80CBE11DDF}" name="VD" dataDxfId="214" totalsRowDxfId="213"/>
    <tableColumn id="22" xr3:uid="{F2D7B403-0EF6-4117-AF00-D3033B5D5084}" name="Business Approval" dataDxfId="212" totalsRowDxfId="211"/>
    <tableColumn id="48" xr3:uid="{E0870E42-7FEA-4345-B79D-74730FD920F3}" name="Pre-review" dataDxfId="210" totalsRowDxfId="209"/>
    <tableColumn id="26" xr3:uid="{563DF36C-A2A4-48A8-9FB3-DFBC7FA2ACC1}" name="Analysis" dataDxfId="208" totalsRowDxfId="207"/>
    <tableColumn id="27" xr3:uid="{0E7C015F-51CE-4F81-ABC3-1E19FA644A16}" name="Initial Technical Draft" dataDxfId="206" totalsRowDxfId="205"/>
    <tableColumn id="28" xr3:uid="{E81D6482-162E-4B4C-A405-6B4CB7936BAB}" name="Initial Estimation" dataDxfId="204" totalsRowDxfId="203"/>
    <tableColumn id="29" xr3:uid="{77D38D6B-0E39-4356-BCE5-6A876DA6FBDD}" name="Ready for Dev Team review" dataDxfId="202" totalsRowDxfId="201"/>
    <tableColumn id="4" xr3:uid="{00000000-0010-0000-0000-000004000000}" name="Techincal Design Document" dataDxfId="200" totalsRowDxfId="199"/>
    <tableColumn id="5" xr3:uid="{00000000-0010-0000-0000-000005000000}" name="Final Estimation" dataDxfId="198" totalsRowDxfId="197"/>
    <tableColumn id="15" xr3:uid="{00000000-0010-0000-0000-00000F000000}" name="Ready for Development" dataDxfId="196" totalsRowDxfId="195"/>
    <tableColumn id="32" xr3:uid="{05721300-164C-4B6B-B3A6-59F8494F44BC}" name="Development" dataDxfId="194" totalsRowDxfId="193"/>
    <tableColumn id="25" xr3:uid="{5A61D7AA-9FAC-419F-A4CF-1DC2CE44F816}" name="Test Data" dataDxfId="192" totalsRowDxfId="191"/>
    <tableColumn id="33" xr3:uid="{64B1A499-8090-421E-ADA4-7083744FCE95}" name="Unit Testing" dataDxfId="190" totalsRowDxfId="189"/>
    <tableColumn id="34" xr3:uid="{7E89B934-58FC-4FB0-B5BE-435CCD4F6C36}" name="Peer Review" dataDxfId="188" totalsRowDxfId="187"/>
    <tableColumn id="35" xr3:uid="{D799E956-BD93-47E9-8B31-CF18B819489D}" name="Mock Deployment" dataDxfId="186" totalsRowDxfId="185"/>
    <tableColumn id="36" xr3:uid="{37AAEDC5-980E-4DBC-AC41-A1AC301F9013}" name="SonarQube" dataDxfId="184" totalsRowDxfId="183"/>
    <tableColumn id="47" xr3:uid="{B91F4B2E-6CD3-4E15-80DB-C1EA69907899}" name="Pull Request" dataDxfId="182" totalsRowDxfId="181"/>
    <tableColumn id="37" xr3:uid="{C6A9F01B-A324-423E-A958-397FC0691C01}" name="Update TDD, Data Dictionary and Jira" dataDxfId="180" totalsRowDxfId="179"/>
    <tableColumn id="8" xr3:uid="{00000000-0010-0000-0000-000008000000}" name="ACECI" dataDxfId="178" totalsRowDxfId="177"/>
    <tableColumn id="19" xr3:uid="{00000000-0010-0000-0000-000013000000}" name="ACESIT" dataDxfId="176" totalsRowDxfId="175"/>
    <tableColumn id="14" xr3:uid="{00000000-0010-0000-0000-00000E000000}" name="ACEUAT" dataDxfId="174" totalsRowDxfId="173"/>
    <tableColumn id="9" xr3:uid="{00000000-0010-0000-0000-000009000000}" name="ACEPerform" dataDxfId="172" totalsRowDxfId="171"/>
    <tableColumn id="10" xr3:uid="{00000000-0010-0000-0000-00000A000000}" name="ACEMock" dataDxfId="170" totalsRowDxfId="169"/>
    <tableColumn id="11" xr3:uid="{00000000-0010-0000-0000-00000B000000}" name="Production" dataDxfId="168" totalsRowDxfId="167"/>
    <tableColumn id="17" xr3:uid="{00000000-0010-0000-0000-000011000000}" name="Status" dataDxfId="166" totalsRowDxfId="165"/>
    <tableColumn id="18" xr3:uid="{00000000-0010-0000-0000-000012000000}" name="Estimated" totalsRowFunction="sum" dataDxfId="164" totalsRowDxfId="163"/>
    <tableColumn id="30" xr3:uid="{A71D773A-0ED9-4456-B345-0C0E5C55CC3E}" name="Actual" totalsRowFunction="sum" dataDxfId="162" totalsRowDxfId="161"/>
    <tableColumn id="13" xr3:uid="{FD2D7948-18C3-4368-8203-0B9FA994D6F3}" name="Process Tower" dataDxfId="160" totalsRowDxfId="159"/>
    <tableColumn id="45" xr3:uid="{382E98E4-12E2-4584-AF6D-52D7C2364E31}" name="Feature" dataDxfId="158"/>
    <tableColumn id="38" xr3:uid="{947C5D20-82C3-4547-914A-58BF08851473}" name="Feature Jira Id" dataDxfId="157" totalsRowDxfId="156"/>
    <tableColumn id="3" xr3:uid="{F96C51E6-1A43-4C0D-9CC6-4001CDE0F4CC}" name="Dev Team" dataDxfId="155" totalsRowDxfId="154"/>
    <tableColumn id="20" xr3:uid="{5B24A1B2-EB41-4085-8349-3C39311A4754}" name="Current Owner" dataDxfId="153" totalsRowDxfId="152"/>
    <tableColumn id="44" xr3:uid="{CB418C67-556B-4D6C-A0E3-97E381BE98C5}" name="Comments" dataDxfId="151" totalsRowDxfId="150"/>
    <tableColumn id="46" xr3:uid="{78598B21-EA93-4014-BED5-C6CA3C8526EA}" name="Sprint allocation" dataDxfId="149" totalsRowDxfId="148"/>
    <tableColumn id="6" xr3:uid="{6C7754AC-04EC-4A4C-A8EF-3A556A1A50F3}" name="Target CI Deployment" dataDxfId="147" totalsRowDxfId="146"/>
    <tableColumn id="23" xr3:uid="{0A339F09-38D5-4960-91B6-384F290BB58B}" name="Integration Dependency" dataDxfId="145" totalsRowDxfId="144"/>
    <tableColumn id="24" xr3:uid="{110E709F-C4F5-42D9-B849-6DED1DE0214D}" name="Type" dataDxfId="143" totalsRowDxfId="142"/>
    <tableColumn id="31" xr3:uid="{49BC7BFE-1EEE-4A79-B6EF-C74A0E6898C9}" name="MuleSoft Story" dataDxfId="141" totalsRowDxfId="140"/>
    <tableColumn id="39" xr3:uid="{CB17523E-AAA2-40F3-B44E-15F63E61300F}" name="Functional Grooming" totalsRowFunction="custom" dataDxfId="139" totalsRowDxfId="138">
      <calculatedColumnFormula>IF(OR(Status[[#This Row],[Status]] = "Open",Status[[#This Row],[Status]] = "Testing", Status[[#This Row],[Status]] = "Blocked"), SUM(Status[[#This Row],[Grooming Sessions]:[Business Approval]])/(COUNT(Status[[#This Row],[Grooming Sessions]:[Business Approval]]) * 2), 1)</calculatedColumnFormula>
      <totalsRowFormula>SUBTOTAL(101,Status[Overall])</totalsRowFormula>
    </tableColumn>
    <tableColumn id="40" xr3:uid="{BD328A42-6553-48AA-8F29-F9C9F4DD253E}" name="Technical Grooming" totalsRowFunction="custom" dataDxfId="137" totalsRowDxfId="136">
      <calculatedColumnFormula>IF(OR(Status[[#This Row],[Status]] = "Open", Status[[#This Row],[Status]] = "Testing",Status[[#This Row],[Status]] = "Blocked"), SUM(Status[[#This Row],[Analysis]:[Ready for Dev Team review]])/(COUNT(Status[[#This Row],[Analysis]:[Ready for Dev Team review]]) * 2), 1)</calculatedColumnFormula>
      <totalsRowFormula>SUBTOTAL(101,Status[Overall])</totalsRowFormula>
    </tableColumn>
    <tableColumn id="41" xr3:uid="{17578444-3675-4748-BB67-A63753AF267A}" name="Technical Design" totalsRowFunction="custom" dataDxfId="135" totalsRowDxfId="134">
      <calculatedColumnFormula>IF(OR(Status[[#This Row],[Status]] = "Open",Status[[#This Row],[Status]] = "Testing", Status[[#This Row],[Status]] = "Blocked"), SUM(Status[[#This Row],[Techincal Design Document]:[Ready for Development]])/(COUNT(Status[[#This Row],[Techincal Design Document]:[Ready for Development]]) * 2), 1)</calculatedColumnFormula>
      <totalsRowFormula>SUBTOTAL(101,Status[Overall])</totalsRowFormula>
    </tableColumn>
    <tableColumn id="42" xr3:uid="{3E12E7CE-FA9B-438D-9D1A-482456079AE4}" name="Development Process" totalsRowFunction="custom" dataDxfId="133" totalsRowDxfId="132">
      <calculatedColumnFormula>IF(OR(Status[[#This Row],[Status]] = "Open", Status[[#This Row],[Status]] = "Testing",Status[[#This Row],[Status]] = "Blocked"), SUM(Status[[#This Row],[Development]:[Update TDD, Data Dictionary and Jira]])/(COUNT(Status[[#This Row],[Development]:[Update TDD, Data Dictionary and Jira]]) * 2), 1)</calculatedColumnFormula>
      <totalsRowFormula>SUBTOTAL(101,Status[Overall])</totalsRowFormula>
    </tableColumn>
    <tableColumn id="43" xr3:uid="{E7EEA36D-DE40-4D42-AFD1-928E7563427E}" name="Testing" totalsRowFunction="average" dataDxfId="131" totalsRowDxfId="130">
      <calculatedColumnFormula>IF(OR(Status[[#This Row],[Status]] = "Open", Status[[#This Row],[Status]] = "Testing",Status[[#This Row],[Status]] = "Blocked"), SUM(Status[[#This Row],[ACECI]:[Production]])/(COUNT(Status[[#This Row],[ACECI]:[Production]]) * 2), 1)</calculatedColumnFormula>
    </tableColumn>
    <tableColumn id="12" xr3:uid="{00000000-0010-0000-0000-00000C000000}" name="Overall" totalsRowFunction="average" dataDxfId="129" totalsRowDxfId="128">
      <calculatedColumnFormula>AVERAGE(Status[[#This Row],[Functional Grooming]:[Testing]])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E72FD8-95AB-47D7-BECF-ED0F00E34D7E}" name="Table2" displayName="Table2" ref="A1:BO14" totalsRowCount="1" headerRowDxfId="127" totalsRowDxfId="126" headerRowCellStyle="Normal 2" dataCellStyle="Normal 2">
  <autoFilter ref="A1:BO13" xr:uid="{D72FA769-A6D6-47A2-B5C4-72DEB04BD4DE}"/>
  <tableColumns count="67">
    <tableColumn id="1" xr3:uid="{B5EFBD36-B360-4A7A-BA9A-87759101E0EE}" name="Key" totalsRowDxfId="125" dataCellStyle="Normal 2"/>
    <tableColumn id="2" xr3:uid="{6E336A82-2351-413D-9013-8DD83C5CC536}" name="Summary" totalsRowDxfId="124" dataCellStyle="Normal 2"/>
    <tableColumn id="3" xr3:uid="{DD25D168-0441-4AE2-9871-90575F1B4D1A}" name="Σ Time Spent" totalsRowDxfId="123" dataCellStyle="Normal 2"/>
    <tableColumn id="4" xr3:uid="{631BCE19-55CF-4F99-9A56-D5D0EAC3DC30}" name="Status" totalsRowDxfId="122" dataCellStyle="Normal 2"/>
    <tableColumn id="5" xr3:uid="{FD88A6E0-99CF-47F9-85B4-A3D0784A80C2}" name="Original Estimate" totalsRowDxfId="121" dataCellStyle="Normal 2"/>
    <tableColumn id="6" xr3:uid="{80E9D7DD-F2A4-4C1B-9AA9-7BAE9D6A6C9B}" name="Assignee" totalsRowDxfId="120" dataCellStyle="Normal 2"/>
    <tableColumn id="7" xr3:uid="{55DD1969-F608-4455-B54C-BF17C9FE26C1}" name="User Story" totalsRowDxfId="119" dataCellStyle="Normal 2">
      <calculatedColumnFormula>LEFT(B2, SEARCH(" ", B2)-1)</calculatedColumnFormula>
    </tableColumn>
    <tableColumn id="8" xr3:uid="{BBB0C490-9875-4D7B-870C-B16885581557}" name="Expected-Technical Design" totalsRowFunction="sum" dataDxfId="118" totalsRowDxfId="117" dataCellStyle="Normal 2">
      <calculatedColumnFormula>IF(ISNUMBER(SEARCH("-" &amp; RIGHT($B2,LEN($B2)-SEARCH(" ", $B2)), H$1)), ($E2 / 1000), 0)</calculatedColumnFormula>
    </tableColumn>
    <tableColumn id="9" xr3:uid="{392946A6-5C8A-4122-B841-3CAAB5E97D9D}" name="Actual-Technical Design" totalsRowFunction="sum" dataDxfId="116" totalsRowDxfId="115" dataCellStyle="Normal 2">
      <calculatedColumnFormula>IF(ISNUMBER(SEARCH("-" &amp; RIGHT($B2,LEN($B2)-SEARCH(" ", $B2)), I$1)), ($C2 / 1000), 0)</calculatedColumnFormula>
    </tableColumn>
    <tableColumn id="10" xr3:uid="{36F79210-DBDD-4CD8-88F3-32F0756C9E65}" name="Gap-Technical Design" totalsRowFunction="sum" totalsRowDxfId="114" dataCellStyle="Normal 2">
      <calculatedColumnFormula>H2-I2</calculatedColumnFormula>
    </tableColumn>
    <tableColumn id="11" xr3:uid="{E7FEBE70-CB35-4713-B88A-3FCC695A71D7}" name="Expected-Development" dataDxfId="113" totalsRowDxfId="112" dataCellStyle="Normal 2">
      <calculatedColumnFormula>IF(ISNUMBER(SEARCH("-" &amp; RIGHT($B2,LEN($B2)-SEARCH(" ", $B2)), K$1)), ($E2 / 1000), 0)</calculatedColumnFormula>
    </tableColumn>
    <tableColumn id="12" xr3:uid="{89D55450-5018-4B4A-8949-FDB7A4AB1A82}" name="Actual-Development" dataDxfId="111" totalsRowDxfId="110" dataCellStyle="Normal 2">
      <calculatedColumnFormula>IF(ISNUMBER(SEARCH("-" &amp; RIGHT($B2,LEN($B2)-SEARCH(" ", $B2)), L$1)), ($C2 / 1000), 0)</calculatedColumnFormula>
    </tableColumn>
    <tableColumn id="13" xr3:uid="{D5A2FBBD-701A-43F3-AE71-419F7F6F4D4D}" name="Gap-Development" dataDxfId="109" totalsRowDxfId="108" dataCellStyle="Normal 2">
      <calculatedColumnFormula>K2-L2</calculatedColumnFormula>
    </tableColumn>
    <tableColumn id="14" xr3:uid="{0C943A78-6105-4C83-AC1E-06CF7D5CB383}" name="Expected-Unit Testing" dataDxfId="107" totalsRowDxfId="106" dataCellStyle="Normal 2">
      <calculatedColumnFormula>IF(ISNUMBER(SEARCH("-" &amp; RIGHT($B2,LEN($B2)-SEARCH(" ", $B2)), N$1)), ($E2 / 1000), 0)</calculatedColumnFormula>
    </tableColumn>
    <tableColumn id="15" xr3:uid="{65D1D80A-F77F-4320-9548-401C43A8C961}" name="Actual-Unit Testing" dataDxfId="105" totalsRowDxfId="104" dataCellStyle="Normal 2">
      <calculatedColumnFormula>IF(ISNUMBER(SEARCH("-" &amp; RIGHT($B2,LEN($B2)-SEARCH(" ", $B2)), O$1)), ($C2 / 1000), 0)</calculatedColumnFormula>
    </tableColumn>
    <tableColumn id="16" xr3:uid="{D686431C-24E4-49C0-A084-C2A461B4F781}" name="Gap-Unit Testing" dataDxfId="103" totalsRowDxfId="102" dataCellStyle="Normal 2">
      <calculatedColumnFormula>N2-O2</calculatedColumnFormula>
    </tableColumn>
    <tableColumn id="17" xr3:uid="{7FFD1E73-4EC4-4F35-BB36-35C5F1CEC30B}" name="Expected-Peer Review" dataDxfId="101" totalsRowDxfId="100" dataCellStyle="Normal 2">
      <calculatedColumnFormula>IF(ISNUMBER(SEARCH("-" &amp; RIGHT($B2,LEN($B2)-SEARCH(" ", $B2)), Q$1)), ($E2 / 1000), 0)</calculatedColumnFormula>
    </tableColumn>
    <tableColumn id="18" xr3:uid="{3703D785-39C8-41BD-9A57-4043E690982F}" name="Actual-Peer Review" dataDxfId="99" totalsRowDxfId="98" dataCellStyle="Normal 2">
      <calculatedColumnFormula>IF(ISNUMBER(SEARCH("-" &amp; RIGHT($B2,LEN($B2)-SEARCH(" ", $B2)), R$1)), ($C2 / 1000), 0)</calculatedColumnFormula>
    </tableColumn>
    <tableColumn id="19" xr3:uid="{F86AA327-AC48-480F-BF9A-0E2AC13287B2}" name="Gap-Peer Review" dataDxfId="97" totalsRowDxfId="96" dataCellStyle="Normal 2">
      <calculatedColumnFormula>Q2-R2</calculatedColumnFormula>
    </tableColumn>
    <tableColumn id="20" xr3:uid="{3D7D7ABD-426E-4DFF-9EBF-E86C8D844187}" name="Expected-Commit to GitHub" dataDxfId="95" totalsRowDxfId="94" dataCellStyle="Normal 2">
      <calculatedColumnFormula>IF(ISNUMBER(SEARCH("-" &amp; RIGHT($B2,LEN($B2)-SEARCH(" ", $B2)), T$1)), ($E2 / 1000), 0)</calculatedColumnFormula>
    </tableColumn>
    <tableColumn id="21" xr3:uid="{E49BC6EF-6508-4375-82E9-F0D070208243}" name="Actual-Commit to GitHub" dataDxfId="93" totalsRowDxfId="92" dataCellStyle="Normal 2">
      <calculatedColumnFormula>IF(ISNUMBER(SEARCH("-" &amp; RIGHT($B2,LEN($B2)-SEARCH(" ", $B2)), U$1)), ($C2 / 1000), 0)</calculatedColumnFormula>
    </tableColumn>
    <tableColumn id="22" xr3:uid="{6B76A6F4-8834-4739-8EC5-D2C6CE7C9E0C}" name="Gap-Commit to GitHub" dataDxfId="91" totalsRowDxfId="90" dataCellStyle="Normal 2">
      <calculatedColumnFormula>T2-U2</calculatedColumnFormula>
    </tableColumn>
    <tableColumn id="23" xr3:uid="{9369DEF1-7EEB-4503-A0F1-0E4239E8D42B}" name="Expected-CheckOnly Deployment" dataDxfId="89" totalsRowDxfId="88" dataCellStyle="Normal 2">
      <calculatedColumnFormula>IF(ISNUMBER(SEARCH("-" &amp; RIGHT($B2,LEN($B2)-SEARCH(" ", $B2)), W$1)), ($E2 / 1000), 0)</calculatedColumnFormula>
    </tableColumn>
    <tableColumn id="24" xr3:uid="{D9D4C62D-1BE7-47A6-A06A-ADBBDC831ED9}" name="Actual-CheckOnly Deployment" dataDxfId="87" totalsRowDxfId="86" dataCellStyle="Normal 2">
      <calculatedColumnFormula>IF(ISNUMBER(SEARCH("-" &amp; RIGHT($B2,LEN($B2)-SEARCH(" ", $B2)), X$1)), ($C2 / 1000), 0)</calculatedColumnFormula>
    </tableColumn>
    <tableColumn id="25" xr3:uid="{9FFA1771-2891-419D-9E31-EE4F3A7D1031}" name="Gap-CheckOnly Deployment" dataDxfId="85" totalsRowDxfId="84" dataCellStyle="Normal 2">
      <calculatedColumnFormula>W2-X2</calculatedColumnFormula>
    </tableColumn>
    <tableColumn id="26" xr3:uid="{6E629F5F-FB24-462A-B3ED-1D698B55FA46}" name="Expected-Automated Code review" dataDxfId="83" totalsRowDxfId="82" dataCellStyle="Normal 2">
      <calculatedColumnFormula>IF(ISNUMBER(SEARCH("-" &amp; RIGHT($B2,LEN($B2)-SEARCH(" ", $B2)), Z$1)), ($E2 / 1000), 0)</calculatedColumnFormula>
    </tableColumn>
    <tableColumn id="27" xr3:uid="{2431F36A-EB76-4057-9E49-E32E292FBC9A}" name="Actual-Automated Code review" dataDxfId="81" totalsRowDxfId="80" dataCellStyle="Normal 2">
      <calculatedColumnFormula>IF(ISNUMBER(SEARCH("-" &amp; RIGHT($B2,LEN($B2)-SEARCH(" ", $B2)), AA$1)), ($C2 / 1000), 0)</calculatedColumnFormula>
    </tableColumn>
    <tableColumn id="28" xr3:uid="{C33C1C87-40CE-4F77-BA18-460180002002}" name="Gap-Automated Code review" dataDxfId="79" totalsRowDxfId="78" dataCellStyle="Normal 2">
      <calculatedColumnFormula>Z2-AA2</calculatedColumnFormula>
    </tableColumn>
    <tableColumn id="29" xr3:uid="{0B19BDE2-8C08-47CF-9D13-23D879AF5808}" name="Expected-Pull Request creation" dataDxfId="77" totalsRowDxfId="76" dataCellStyle="Normal 2">
      <calculatedColumnFormula>IF(ISNUMBER(SEARCH("-" &amp; RIGHT($B2,LEN($B2)-SEARCH(" ", $B2)), AC$1)), ($E2 / 1000), 0)</calculatedColumnFormula>
    </tableColumn>
    <tableColumn id="30" xr3:uid="{6B4563E2-6598-4DC1-A67D-D17965C083D9}" name="Actual-Pull Request creation" dataDxfId="75" totalsRowDxfId="74" dataCellStyle="Normal 2">
      <calculatedColumnFormula>IF(ISNUMBER(SEARCH("-" &amp; RIGHT($B2,LEN($B2)-SEARCH(" ", $B2)), AD$1)), ($C2 / 1000), 0)</calculatedColumnFormula>
    </tableColumn>
    <tableColumn id="31" xr3:uid="{A016A2A1-B3FC-457D-8DBE-4ADBA83BD172}" name="Gap-Pull Request creation" dataDxfId="73" totalsRowDxfId="72" dataCellStyle="Normal 2">
      <calculatedColumnFormula>AC2-AD2</calculatedColumnFormula>
    </tableColumn>
    <tableColumn id="32" xr3:uid="{5C533D30-EE1C-4309-9920-6132BDB85AB2}" name="Expected-Code Merge" dataDxfId="71" totalsRowDxfId="70" dataCellStyle="Normal 2">
      <calculatedColumnFormula>IF(ISNUMBER(SEARCH("-" &amp; RIGHT($B2,LEN($B2)-SEARCH(" ", $B2)), AF$1)), ($E2 / 1000), 0)</calculatedColumnFormula>
    </tableColumn>
    <tableColumn id="33" xr3:uid="{C65B7CBD-36E1-424E-814C-1680A383AE65}" name="Actual-Code Merge" dataDxfId="69" totalsRowDxfId="68" dataCellStyle="Normal 2">
      <calculatedColumnFormula>IF(ISNUMBER(SEARCH("-" &amp; RIGHT($B2,LEN($B2)-SEARCH(" ", $B2)), AG$1)), ($C2 / 1000), 0)</calculatedColumnFormula>
    </tableColumn>
    <tableColumn id="34" xr3:uid="{9F5672C6-2B2C-4CC8-A9FB-694089E112E1}" name="Gap-Code Merge" dataDxfId="67" totalsRowDxfId="66" dataCellStyle="Normal 2">
      <calculatedColumnFormula>AF2-AG2</calculatedColumnFormula>
    </tableColumn>
    <tableColumn id="35" xr3:uid="{8B67098F-B5B2-4E1D-A782-E6F9CC3941C4}" name="Expected-Pre-deployment steps" dataDxfId="65" totalsRowDxfId="64" dataCellStyle="Normal 2">
      <calculatedColumnFormula>IF(ISNUMBER(SEARCH("-" &amp; RIGHT($B2,LEN($B2)-SEARCH(" ", $B2)), AI$1)), ($E2 / 1000), 0)</calculatedColumnFormula>
    </tableColumn>
    <tableColumn id="36" xr3:uid="{8A7E3CD3-B76A-46E2-8929-BBAC30F6C440}" name="Actual-Pre-deployment steps" dataDxfId="63" totalsRowDxfId="62" dataCellStyle="Normal 2">
      <calculatedColumnFormula>IF(ISNUMBER(SEARCH("-" &amp; RIGHT($B2,LEN($B2)-SEARCH(" ", $B2)), AJ$1)), ($C2 / 1000), 0)</calculatedColumnFormula>
    </tableColumn>
    <tableColumn id="37" xr3:uid="{7B3CA197-1DE8-462A-86C3-7DF78261CC7C}" name="Gap-Pre-deployment steps" dataDxfId="61" totalsRowDxfId="60" dataCellStyle="Normal 2">
      <calculatedColumnFormula>AI2-AJ2</calculatedColumnFormula>
    </tableColumn>
    <tableColumn id="38" xr3:uid="{77C1280C-B1F8-496E-A553-D494438F752D}" name="Expected-Deployment" dataDxfId="59" totalsRowDxfId="58" dataCellStyle="Normal 2">
      <calculatedColumnFormula>IF(ISNUMBER(SEARCH("-" &amp; RIGHT($B2,LEN($B2)-SEARCH(" ", $B2)), AL$1)), ($E2 / 1000), 0)</calculatedColumnFormula>
    </tableColumn>
    <tableColumn id="39" xr3:uid="{A97FB445-5D16-4239-A727-C2306DA1948A}" name="Actual-Deployment" dataDxfId="57" totalsRowDxfId="56" dataCellStyle="Normal 2">
      <calculatedColumnFormula>IF(ISNUMBER(SEARCH("-" &amp; RIGHT($B2,LEN($B2)-SEARCH(" ", $B2)), AM$1)), ($C2 / 1000), 0)</calculatedColumnFormula>
    </tableColumn>
    <tableColumn id="40" xr3:uid="{FEA02E43-BA76-4F92-9AD1-BC74DE089196}" name="Gap-Deployment" dataDxfId="55" totalsRowDxfId="54" dataCellStyle="Normal 2">
      <calculatedColumnFormula>AL2-AM2</calculatedColumnFormula>
    </tableColumn>
    <tableColumn id="41" xr3:uid="{3AC0CB76-5C6D-4335-A73D-C1A715383AAD}" name="Expected-Post-deployment steps" dataDxfId="53" totalsRowDxfId="52" dataCellStyle="Normal 2">
      <calculatedColumnFormula>IF(ISNUMBER(SEARCH("-" &amp; RIGHT($B2,LEN($B2)-SEARCH(" ", $B2)), AO$1)), ($E2 / 1000), 0)</calculatedColumnFormula>
    </tableColumn>
    <tableColumn id="42" xr3:uid="{69679926-8D9C-4E03-96B8-A398026CDA95}" name="Actual-Post-deployment steps" dataDxfId="51" totalsRowDxfId="50" dataCellStyle="Normal 2">
      <calculatedColumnFormula>IF(ISNUMBER(SEARCH("-" &amp; RIGHT($B2,LEN($B2)-SEARCH(" ", $B2)), AP$1)), ($C2 / 1000), 0)</calculatedColumnFormula>
    </tableColumn>
    <tableColumn id="43" xr3:uid="{F047E073-AE28-4118-965A-8BEE0FE57A0B}" name="Gap-Post-deployment steps" dataDxfId="49" totalsRowDxfId="48" dataCellStyle="Normal 2">
      <calculatedColumnFormula>AO2-AP2</calculatedColumnFormula>
    </tableColumn>
    <tableColumn id="44" xr3:uid="{63561A7A-5731-4410-A0A8-526A55E79E9F}" name="Expected-Jira update" dataDxfId="47" totalsRowDxfId="46" dataCellStyle="Normal 2">
      <calculatedColumnFormula>IF(ISNUMBER(SEARCH("-" &amp; RIGHT($B2,LEN($B2)-SEARCH(" ", $B2)), AR$1)), ($E2 / 1000), 0)</calculatedColumnFormula>
    </tableColumn>
    <tableColumn id="45" xr3:uid="{82DC7E82-B293-4A2E-9E5B-5EE7323B898E}" name="Actual-Jira update" dataDxfId="45" totalsRowDxfId="44" dataCellStyle="Normal 2">
      <calculatedColumnFormula>IF(ISNUMBER(SEARCH("-" &amp; RIGHT($B2,LEN($B2)-SEARCH(" ", $B2)), AS$1)), ($C2 / 1000), 0)</calculatedColumnFormula>
    </tableColumn>
    <tableColumn id="46" xr3:uid="{78D7888F-D6F2-4FCB-8738-D9EA849182ED}" name="Gap-Jira update" dataDxfId="43" totalsRowDxfId="42" dataCellStyle="Normal 2">
      <calculatedColumnFormula>AR2-AS2</calculatedColumnFormula>
    </tableColumn>
    <tableColumn id="47" xr3:uid="{A7FA8EE6-8E22-4E81-9B3A-95CC36E126CB}" name="Expected-Documentation" dataDxfId="41" totalsRowDxfId="40" dataCellStyle="Normal 2">
      <calculatedColumnFormula>IF(ISNUMBER(SEARCH("-" &amp; RIGHT($B2,LEN($B2)-SEARCH(" ", $B2)), AU$1)), ($E2 / 1000), 0)</calculatedColumnFormula>
    </tableColumn>
    <tableColumn id="48" xr3:uid="{981FDBA0-6336-461D-8382-15CEB572F624}" name="Actual-Documentation" dataDxfId="39" totalsRowDxfId="38" dataCellStyle="Normal 2">
      <calculatedColumnFormula>IF(ISNUMBER(SEARCH("-" &amp; RIGHT($B2,LEN($B2)-SEARCH(" ", $B2)), AV$1)), ($C2 / 1000), 0)</calculatedColumnFormula>
    </tableColumn>
    <tableColumn id="49" xr3:uid="{4F7F4EB6-D41A-46DA-A208-C972B1B5E496}" name="Gap-Documentation" dataDxfId="37" totalsRowDxfId="36" dataCellStyle="Normal 2">
      <calculatedColumnFormula>AU2-AV2</calculatedColumnFormula>
    </tableColumn>
    <tableColumn id="50" xr3:uid="{99C1DA23-553B-4CF3-A36F-C913AAC8A9A0}" name="Expected-Test Scenario Creation" dataDxfId="35" totalsRowDxfId="34" dataCellStyle="Normal 2">
      <calculatedColumnFormula>IF(ISNUMBER(SEARCH("-" &amp; RIGHT($B2,LEN($B2)-SEARCH(" ", $B2)), AX$1)), ($E2 / 1000), 0)</calculatedColumnFormula>
    </tableColumn>
    <tableColumn id="51" xr3:uid="{569DC97C-835C-4D59-911F-07FD06F03EC4}" name="Actual-Test Scenario Creation" dataDxfId="33" totalsRowDxfId="32" dataCellStyle="Normal 2">
      <calculatedColumnFormula>IF(ISNUMBER(SEARCH("-" &amp; RIGHT($B2,LEN($B2)-SEARCH(" ", $B2)), AY$1)), ($C2 / 1000), 0)</calculatedColumnFormula>
    </tableColumn>
    <tableColumn id="52" xr3:uid="{B4C8CD11-4281-467F-9BBB-3DC9378E2F17}" name="Gap-Test Scenario Creation" dataDxfId="31" totalsRowDxfId="30" dataCellStyle="Normal 2">
      <calculatedColumnFormula>AX2-AY2</calculatedColumnFormula>
    </tableColumn>
    <tableColumn id="53" xr3:uid="{1B9441F4-E345-498C-9E5A-20271A8B166C}" name="Expected-Automation test script creation" dataDxfId="29" totalsRowDxfId="28" dataCellStyle="Normal 2">
      <calculatedColumnFormula>IF(ISNUMBER(SEARCH("-" &amp; RIGHT($B2,LEN($B2)-SEARCH(" ", $B2)), BA$1)), ($E2 / 1000), 0)</calculatedColumnFormula>
    </tableColumn>
    <tableColumn id="54" xr3:uid="{6C04AC6D-4293-476E-BCAB-0E0241BA5206}" name="Actual-Automation test script creation" dataDxfId="27" totalsRowDxfId="26" dataCellStyle="Normal 2">
      <calculatedColumnFormula>IF(ISNUMBER(SEARCH("-" &amp; RIGHT($B2,LEN($B2)-SEARCH(" ", $B2)), BB$1)), ($C2 / 1000), 0)</calculatedColumnFormula>
    </tableColumn>
    <tableColumn id="55" xr3:uid="{4EB94F41-9DBD-4B3C-BDDD-767F99239DE6}" name="Gap-Automation test script creation" dataDxfId="25" totalsRowDxfId="24" dataCellStyle="Normal 2">
      <calculatedColumnFormula>BA2-BB2</calculatedColumnFormula>
    </tableColumn>
    <tableColumn id="56" xr3:uid="{A907D736-9447-44A5-B5D5-C1753A4C9DE8}" name="Expected-Automation test script - review" dataDxfId="23" totalsRowDxfId="22" dataCellStyle="Normal 2">
      <calculatedColumnFormula>IF(ISNUMBER(SEARCH("-" &amp; RIGHT($B2,LEN($B2)-SEARCH(" ", $B2)), BD$1)), ($E2 / 1000), 0)</calculatedColumnFormula>
    </tableColumn>
    <tableColumn id="57" xr3:uid="{BD4866F4-607B-4E19-AC6E-CEFBF2EE9B5D}" name="Actual-Automation test script - review" dataDxfId="21" totalsRowDxfId="20" dataCellStyle="Normal 2">
      <calculatedColumnFormula>IF(ISNUMBER(SEARCH("-" &amp; RIGHT($B2,LEN($B2)-SEARCH(" ", $B2)), BE$1)), ($C2 / 1000), 0)</calculatedColumnFormula>
    </tableColumn>
    <tableColumn id="58" xr3:uid="{31EF8C35-F518-47A2-AAAD-402852BD01F1}" name="Gap-Automation test script - review" dataDxfId="19" totalsRowDxfId="18" dataCellStyle="Normal 2">
      <calculatedColumnFormula>BD2-BE2</calculatedColumnFormula>
    </tableColumn>
    <tableColumn id="59" xr3:uid="{30EA07BC-2550-4B5C-B30F-C8131ED954F0}" name="Expected-Test Data Coordination" dataDxfId="17" totalsRowDxfId="16" dataCellStyle="Normal 2">
      <calculatedColumnFormula>IF(ISNUMBER(SEARCH("-" &amp; RIGHT($B2,LEN($B2)-SEARCH(" ", $B2)), BG$1)), ($E2 / 1000), 0)</calculatedColumnFormula>
    </tableColumn>
    <tableColumn id="60" xr3:uid="{805B35CD-08FB-4FA3-80BD-CDC6E913065E}" name="Actual-Test Data Coordination" dataDxfId="15" totalsRowDxfId="14" dataCellStyle="Normal 2">
      <calculatedColumnFormula>IF(ISNUMBER(SEARCH("-" &amp; RIGHT($B2,LEN($B2)-SEARCH(" ", $B2)), BH$1)), ($C2 / 1000), 0)</calculatedColumnFormula>
    </tableColumn>
    <tableColumn id="61" xr3:uid="{6A3593E3-E2E5-4661-AC3E-BAF0409D6AAD}" name="Gap-Test Data Coordination" dataDxfId="13" totalsRowDxfId="12" dataCellStyle="Normal 2">
      <calculatedColumnFormula>BG2-BH2</calculatedColumnFormula>
    </tableColumn>
    <tableColumn id="62" xr3:uid="{224B1FED-3045-4450-93CC-3B928ABBACA8}" name="Expected-Automation test script execution" dataDxfId="11" totalsRowDxfId="10" dataCellStyle="Normal 2">
      <calculatedColumnFormula>IF(ISNUMBER(SEARCH("-" &amp; RIGHT($B2,LEN($B2)-SEARCH(" ", $B2)), BJ$1)), ($E2 / 1000), 0)</calculatedColumnFormula>
    </tableColumn>
    <tableColumn id="63" xr3:uid="{F9D7CBCA-FEE2-40B0-841E-41A390FB7E80}" name="Actual-Automation test script execution" dataDxfId="9" totalsRowDxfId="8" dataCellStyle="Normal 2">
      <calculatedColumnFormula>IF(ISNUMBER(SEARCH("-" &amp; RIGHT($B2,LEN($B2)-SEARCH(" ", $B2)), BK$1)), ($C2 / 1000), 0)</calculatedColumnFormula>
    </tableColumn>
    <tableColumn id="64" xr3:uid="{1BB70072-E3E9-477B-A207-D03B780473E1}" name="Gap-Automation test script execution" dataDxfId="7" totalsRowDxfId="6" dataCellStyle="Normal 2">
      <calculatedColumnFormula>BJ2-BK2</calculatedColumnFormula>
    </tableColumn>
    <tableColumn id="65" xr3:uid="{EE6105C7-B987-47B5-91EB-0CA3664F2186}" name="Expected-Retesting effort" dataDxfId="5" totalsRowDxfId="4" dataCellStyle="Normal 2">
      <calculatedColumnFormula>IF(ISNUMBER(SEARCH("-" &amp; RIGHT($B2,LEN($B2)-SEARCH(" ", $B2)), BM$1)), ($E2 / 1000), 0)</calculatedColumnFormula>
    </tableColumn>
    <tableColumn id="66" xr3:uid="{8D6C2D07-A45F-4F8B-9787-1E16F7067E4A}" name="Actual-Retesting effort" dataDxfId="3" totalsRowDxfId="2" dataCellStyle="Normal 2">
      <calculatedColumnFormula>IF(ISNUMBER(SEARCH("-" &amp; RIGHT($B2,LEN($B2)-SEARCH(" ", $B2)), BN$1)), ($C2 / 1000), 0)</calculatedColumnFormula>
    </tableColumn>
    <tableColumn id="67" xr3:uid="{DADF02FA-66C7-440B-B4A3-EF823D2579F5}" name="Gap-Retesting effort" dataDxfId="1" totalsRowDxfId="0" dataCellStyle="Normal 2">
      <calculatedColumnFormula>BM2-BN2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253E2-8CF1-412F-917B-726953002896}">
  <sheetPr codeName="Sheet1"/>
  <dimension ref="A1:EH302"/>
  <sheetViews>
    <sheetView tabSelected="1" zoomScaleNormal="100" workbookViewId="0"/>
  </sheetViews>
  <sheetFormatPr defaultRowHeight="13.2" x14ac:dyDescent="0.25"/>
  <cols>
    <col min="1" max="1" width="10.77734375" style="1" bestFit="1" customWidth="1"/>
    <col min="2" max="2" width="8" style="2" bestFit="1" customWidth="1"/>
    <col min="3" max="3" width="10.77734375" style="1" bestFit="1" customWidth="1"/>
    <col min="4" max="4" width="15.5546875" style="1" bestFit="1" customWidth="1"/>
    <col min="5" max="5" width="19.88671875" style="1" bestFit="1" customWidth="1"/>
    <col min="6" max="7" width="8" style="1" bestFit="1" customWidth="1"/>
    <col min="8" max="8" width="12.6640625" style="1" bestFit="1" customWidth="1"/>
    <col min="9" max="9" width="15.88671875" style="1" bestFit="1" customWidth="1"/>
    <col min="10" max="10" width="17.5546875" style="1" bestFit="1" customWidth="1"/>
    <col min="11" max="11" width="20.6640625" style="1" bestFit="1" customWidth="1"/>
    <col min="12" max="12" width="12.109375" style="1" bestFit="1" customWidth="1"/>
    <col min="13" max="13" width="14.77734375" style="1" bestFit="1" customWidth="1"/>
    <col min="14" max="14" width="12.109375" style="1" bestFit="1" customWidth="1"/>
    <col min="15" max="15" width="14.77734375" style="1" bestFit="1" customWidth="1"/>
    <col min="16" max="16" width="12.109375" style="1" bestFit="1" customWidth="1"/>
    <col min="17" max="17" width="14.77734375" style="1" bestFit="1" customWidth="1"/>
    <col min="18" max="18" width="12" style="1" bestFit="1" customWidth="1"/>
    <col min="19" max="19" width="14.77734375" style="1" bestFit="1" customWidth="1"/>
    <col min="20" max="20" width="12" style="1" bestFit="1" customWidth="1"/>
    <col min="21" max="21" width="14.77734375" style="1" bestFit="1" customWidth="1"/>
    <col min="22" max="22" width="12" style="1" bestFit="1" customWidth="1"/>
    <col min="23" max="23" width="14.77734375" style="1" bestFit="1" customWidth="1"/>
    <col min="24" max="24" width="12" style="1" bestFit="1" customWidth="1"/>
    <col min="25" max="25" width="14.77734375" style="1" bestFit="1" customWidth="1"/>
    <col min="26" max="26" width="12" style="1" bestFit="1" customWidth="1"/>
    <col min="27" max="27" width="14.77734375" style="1" bestFit="1" customWidth="1"/>
    <col min="28" max="28" width="12" style="1" bestFit="1" customWidth="1"/>
    <col min="29" max="29" width="14.77734375" style="1" bestFit="1" customWidth="1"/>
    <col min="30" max="30" width="12" style="1" bestFit="1" customWidth="1"/>
    <col min="31" max="31" width="14.77734375" style="1" bestFit="1" customWidth="1"/>
    <col min="32" max="32" width="12" style="1" bestFit="1" customWidth="1"/>
    <col min="33" max="33" width="14.77734375" style="1" bestFit="1" customWidth="1"/>
    <col min="34" max="34" width="12" style="1" bestFit="1" customWidth="1"/>
    <col min="35" max="35" width="14.77734375" style="1" bestFit="1" customWidth="1"/>
    <col min="36" max="36" width="12" style="1" bestFit="1" customWidth="1"/>
    <col min="37" max="37" width="14.77734375" style="1" bestFit="1" customWidth="1"/>
    <col min="38" max="38" width="12" style="1" bestFit="1" customWidth="1"/>
    <col min="39" max="39" width="14.77734375" style="1" bestFit="1" customWidth="1"/>
    <col min="40" max="40" width="12" style="1" bestFit="1" customWidth="1"/>
    <col min="41" max="41" width="14.77734375" style="1" bestFit="1" customWidth="1"/>
    <col min="42" max="42" width="12" style="1" bestFit="1" customWidth="1"/>
    <col min="43" max="43" width="14.77734375" style="1" bestFit="1" customWidth="1"/>
    <col min="44" max="44" width="12" style="1" bestFit="1" customWidth="1"/>
    <col min="45" max="45" width="14.77734375" style="1" bestFit="1" customWidth="1"/>
    <col min="46" max="46" width="12" style="1" bestFit="1" customWidth="1"/>
    <col min="47" max="47" width="14.77734375" style="1" bestFit="1" customWidth="1"/>
    <col min="48" max="48" width="12" style="1" bestFit="1" customWidth="1"/>
    <col min="49" max="49" width="14.77734375" style="1" bestFit="1" customWidth="1"/>
    <col min="50" max="50" width="12" style="1" bestFit="1" customWidth="1"/>
    <col min="51" max="51" width="14.77734375" style="1" bestFit="1" customWidth="1"/>
    <col min="52" max="52" width="12" style="1" bestFit="1" customWidth="1"/>
    <col min="53" max="53" width="14.77734375" style="1" bestFit="1" customWidth="1"/>
    <col min="54" max="54" width="12.109375" style="1" bestFit="1" customWidth="1"/>
    <col min="55" max="55" width="13.77734375" style="1" bestFit="1" customWidth="1"/>
    <col min="56" max="56" width="12.109375" style="1" bestFit="1" customWidth="1"/>
    <col min="57" max="57" width="14.77734375" style="1" bestFit="1" customWidth="1"/>
    <col min="58" max="58" width="11" style="1" bestFit="1" customWidth="1"/>
    <col min="59" max="59" width="13.77734375" style="1" bestFit="1" customWidth="1"/>
    <col min="60" max="60" width="11" style="1" bestFit="1" customWidth="1"/>
    <col min="61" max="61" width="13.77734375" style="1" bestFit="1" customWidth="1"/>
    <col min="62" max="62" width="12.109375" style="1" bestFit="1" customWidth="1"/>
    <col min="63" max="63" width="13.77734375" style="1" bestFit="1" customWidth="1"/>
    <col min="64" max="64" width="11" style="1" bestFit="1" customWidth="1"/>
    <col min="65" max="65" width="13.77734375" style="1" bestFit="1" customWidth="1"/>
    <col min="66" max="66" width="11" style="1" bestFit="1" customWidth="1"/>
    <col min="67" max="67" width="13.77734375" style="1" bestFit="1" customWidth="1"/>
    <col min="68" max="68" width="12.109375" style="1" bestFit="1" customWidth="1"/>
    <col min="69" max="69" width="13.77734375" style="1" bestFit="1" customWidth="1"/>
    <col min="70" max="70" width="12" style="1" bestFit="1" customWidth="1"/>
    <col min="71" max="71" width="14.77734375" style="1" bestFit="1" customWidth="1"/>
    <col min="72" max="72" width="12" style="1" bestFit="1" customWidth="1"/>
    <col min="73" max="73" width="14.77734375" style="1" bestFit="1" customWidth="1"/>
    <col min="74" max="74" width="12" style="1" bestFit="1" customWidth="1"/>
    <col min="75" max="75" width="14.77734375" style="1" bestFit="1" customWidth="1"/>
    <col min="76" max="76" width="12.109375" style="1" bestFit="1" customWidth="1"/>
    <col min="77" max="77" width="13.77734375" style="1" bestFit="1" customWidth="1"/>
    <col min="78" max="78" width="12" style="1" bestFit="1" customWidth="1"/>
    <col min="79" max="79" width="14.77734375" style="1" bestFit="1" customWidth="1"/>
    <col min="80" max="80" width="12" style="1" bestFit="1" customWidth="1"/>
    <col min="81" max="81" width="14.77734375" style="1" bestFit="1" customWidth="1"/>
    <col min="82" max="82" width="12" style="1" bestFit="1" customWidth="1"/>
    <col min="83" max="83" width="14.77734375" style="1" bestFit="1" customWidth="1"/>
    <col min="84" max="84" width="12" style="1" bestFit="1" customWidth="1"/>
    <col min="85" max="85" width="14.77734375" style="1" bestFit="1" customWidth="1"/>
    <col min="86" max="86" width="12" style="1" bestFit="1" customWidth="1"/>
    <col min="87" max="87" width="14.77734375" style="1" bestFit="1" customWidth="1"/>
    <col min="88" max="88" width="12" style="1" bestFit="1" customWidth="1"/>
    <col min="89" max="89" width="14.77734375" style="1" bestFit="1" customWidth="1"/>
    <col min="90" max="90" width="12" style="1" bestFit="1" customWidth="1"/>
    <col min="91" max="91" width="14.77734375" style="1" bestFit="1" customWidth="1"/>
    <col min="92" max="92" width="12" style="1" bestFit="1" customWidth="1"/>
    <col min="93" max="93" width="14.77734375" style="1" bestFit="1" customWidth="1"/>
    <col min="94" max="94" width="11" style="1" bestFit="1" customWidth="1"/>
    <col min="95" max="95" width="13.77734375" style="1" bestFit="1" customWidth="1"/>
    <col min="96" max="96" width="12" style="1" bestFit="1" customWidth="1"/>
    <col min="97" max="97" width="14.77734375" style="1" bestFit="1" customWidth="1"/>
    <col min="98" max="98" width="12" style="1" bestFit="1" customWidth="1"/>
    <col min="99" max="99" width="14.77734375" style="1" bestFit="1" customWidth="1"/>
    <col min="100" max="100" width="12" style="1" bestFit="1" customWidth="1"/>
    <col min="101" max="101" width="14.77734375" style="1" bestFit="1" customWidth="1"/>
    <col min="102" max="102" width="12.109375" style="1" bestFit="1" customWidth="1"/>
    <col min="103" max="103" width="14.77734375" style="1" bestFit="1" customWidth="1"/>
    <col min="104" max="104" width="12" style="1" bestFit="1" customWidth="1"/>
    <col min="105" max="105" width="14.77734375" style="1" bestFit="1" customWidth="1"/>
    <col min="106" max="106" width="12.109375" style="1" bestFit="1" customWidth="1"/>
    <col min="107" max="107" width="14.77734375" style="1" bestFit="1" customWidth="1"/>
    <col min="108" max="108" width="12" style="1" bestFit="1" customWidth="1"/>
    <col min="109" max="109" width="14.77734375" style="1" bestFit="1" customWidth="1"/>
    <col min="110" max="110" width="12" style="1" bestFit="1" customWidth="1"/>
    <col min="111" max="111" width="14.77734375" style="1" bestFit="1" customWidth="1"/>
    <col min="112" max="112" width="12.109375" style="1" bestFit="1" customWidth="1"/>
    <col min="113" max="113" width="14.77734375" style="1" bestFit="1" customWidth="1"/>
    <col min="114" max="114" width="12" style="1" bestFit="1" customWidth="1"/>
    <col min="115" max="115" width="14.77734375" style="1" bestFit="1" customWidth="1"/>
    <col min="116" max="116" width="12.109375" style="1" bestFit="1" customWidth="1"/>
    <col min="117" max="117" width="14.77734375" style="1" bestFit="1" customWidth="1"/>
    <col min="118" max="118" width="12" style="1" bestFit="1" customWidth="1"/>
    <col min="119" max="119" width="14.77734375" style="1" bestFit="1" customWidth="1"/>
    <col min="120" max="120" width="12" style="1" bestFit="1" customWidth="1"/>
    <col min="121" max="121" width="14.77734375" style="1" bestFit="1" customWidth="1"/>
    <col min="122" max="122" width="12" style="1" bestFit="1" customWidth="1"/>
    <col min="123" max="123" width="14.77734375" style="1" bestFit="1" customWidth="1"/>
    <col min="124" max="124" width="12" style="1" bestFit="1" customWidth="1"/>
    <col min="125" max="125" width="14.77734375" style="1" bestFit="1" customWidth="1"/>
    <col min="126" max="126" width="11" style="1" bestFit="1" customWidth="1"/>
    <col min="127" max="127" width="13.77734375" style="1" bestFit="1" customWidth="1"/>
    <col min="128" max="128" width="11" style="1" bestFit="1" customWidth="1"/>
    <col min="129" max="129" width="13.77734375" style="1" bestFit="1" customWidth="1"/>
    <col min="130" max="130" width="11" style="1" bestFit="1" customWidth="1"/>
    <col min="131" max="131" width="13.77734375" style="1" bestFit="1" customWidth="1"/>
    <col min="132" max="132" width="12.109375" style="1" bestFit="1" customWidth="1"/>
    <col min="133" max="133" width="13.77734375" style="1" bestFit="1" customWidth="1"/>
    <col min="134" max="134" width="11" style="1" bestFit="1" customWidth="1"/>
    <col min="135" max="135" width="13.77734375" style="1" bestFit="1" customWidth="1"/>
    <col min="136" max="136" width="11" style="1" bestFit="1" customWidth="1"/>
    <col min="137" max="137" width="13.77734375" style="1" bestFit="1" customWidth="1"/>
    <col min="138" max="138" width="10.77734375" style="1" bestFit="1" customWidth="1"/>
    <col min="139" max="16384" width="8.88671875" style="1"/>
  </cols>
  <sheetData>
    <row r="1" spans="1:23" ht="14.4" x14ac:dyDescent="0.3">
      <c r="A1" s="8" t="s">
        <v>42</v>
      </c>
      <c r="B1" s="5" t="s">
        <v>52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</row>
    <row r="2" spans="1:23" ht="14.4" x14ac:dyDescent="0.3">
      <c r="A2" s="8" t="s">
        <v>8</v>
      </c>
      <c r="B2" s="5" t="s">
        <v>52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</row>
    <row r="3" spans="1:23" ht="14.4" x14ac:dyDescent="0.3">
      <c r="A3" s="8" t="s">
        <v>10</v>
      </c>
      <c r="B3" s="5" t="s">
        <v>52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23" ht="14.4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3" ht="14.4" x14ac:dyDescent="0.3">
      <c r="A5" s="8" t="s">
        <v>51</v>
      </c>
      <c r="B5" s="5" t="s">
        <v>45</v>
      </c>
      <c r="C5" s="5" t="s">
        <v>46</v>
      </c>
      <c r="D5" s="5" t="s">
        <v>47</v>
      </c>
      <c r="E5" s="5" t="s">
        <v>48</v>
      </c>
      <c r="F5" s="5" t="s">
        <v>49</v>
      </c>
      <c r="G5" s="5" t="s">
        <v>50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</row>
    <row r="6" spans="1:23" ht="14.4" x14ac:dyDescent="0.3">
      <c r="A6" s="9" t="s">
        <v>43</v>
      </c>
      <c r="B6" s="6">
        <v>1</v>
      </c>
      <c r="C6" s="6">
        <v>1</v>
      </c>
      <c r="D6" s="6">
        <v>1</v>
      </c>
      <c r="E6" s="6">
        <v>1</v>
      </c>
      <c r="F6" s="6">
        <v>1</v>
      </c>
      <c r="G6" s="6">
        <v>1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</row>
    <row r="7" spans="1:23" ht="14.4" x14ac:dyDescent="0.3">
      <c r="A7" s="9" t="s">
        <v>44</v>
      </c>
      <c r="B7" s="6">
        <v>1</v>
      </c>
      <c r="C7" s="6">
        <v>1</v>
      </c>
      <c r="D7" s="6">
        <v>1</v>
      </c>
      <c r="E7" s="6">
        <v>1</v>
      </c>
      <c r="F7" s="6">
        <v>1</v>
      </c>
      <c r="G7" s="6">
        <v>1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</row>
    <row r="8" spans="1:23" ht="14.4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</row>
    <row r="9" spans="1:23" ht="14.4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</row>
    <row r="10" spans="1:23" ht="14.4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</row>
    <row r="11" spans="1:23" ht="14.4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23" ht="14.4" x14ac:dyDescent="0.3">
      <c r="A12"/>
      <c r="B12"/>
      <c r="C12"/>
      <c r="D12"/>
      <c r="E12"/>
      <c r="F12"/>
      <c r="G12"/>
      <c r="J12"/>
      <c r="K12"/>
      <c r="L12"/>
      <c r="M12"/>
      <c r="N12"/>
      <c r="O12"/>
    </row>
    <row r="13" spans="1:23" ht="14.4" x14ac:dyDescent="0.3">
      <c r="A13"/>
      <c r="B13"/>
      <c r="C13"/>
      <c r="D13"/>
      <c r="E13"/>
      <c r="F13"/>
      <c r="G13"/>
      <c r="J13"/>
      <c r="K13"/>
      <c r="L13"/>
      <c r="M13"/>
      <c r="N13"/>
      <c r="O13"/>
    </row>
    <row r="14" spans="1:23" ht="14.4" x14ac:dyDescent="0.3">
      <c r="A14"/>
      <c r="B14"/>
      <c r="C14"/>
      <c r="D14"/>
      <c r="E14"/>
      <c r="F14"/>
      <c r="G14"/>
      <c r="J14"/>
      <c r="K14"/>
      <c r="L14"/>
      <c r="M14"/>
      <c r="N14"/>
      <c r="O14"/>
    </row>
    <row r="15" spans="1:23" ht="14.4" x14ac:dyDescent="0.3">
      <c r="A15"/>
      <c r="B15"/>
      <c r="C15"/>
      <c r="D15"/>
      <c r="E15"/>
      <c r="F15"/>
      <c r="G15"/>
      <c r="J15"/>
      <c r="K15"/>
      <c r="L15"/>
      <c r="M15"/>
      <c r="N15"/>
      <c r="O15"/>
    </row>
    <row r="16" spans="1:23" ht="14.4" x14ac:dyDescent="0.3">
      <c r="A16"/>
      <c r="B16"/>
      <c r="C16"/>
      <c r="D16"/>
      <c r="E16"/>
      <c r="F16"/>
      <c r="G16"/>
      <c r="J16"/>
      <c r="K16"/>
      <c r="L16"/>
      <c r="M16"/>
      <c r="N16"/>
      <c r="O16"/>
    </row>
    <row r="17" spans="1:15" ht="14.4" x14ac:dyDescent="0.3">
      <c r="A17"/>
      <c r="B17"/>
      <c r="C17"/>
      <c r="D17"/>
      <c r="E17"/>
      <c r="F17"/>
      <c r="G17"/>
      <c r="J17"/>
      <c r="K17"/>
      <c r="L17"/>
      <c r="M17"/>
      <c r="N17"/>
      <c r="O17"/>
    </row>
    <row r="18" spans="1:15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ht="14.4" x14ac:dyDescent="0.3">
      <c r="A32"/>
      <c r="B32"/>
      <c r="C32"/>
      <c r="D32"/>
      <c r="E32"/>
      <c r="F32"/>
      <c r="G32"/>
    </row>
    <row r="33" spans="1:7" ht="14.4" x14ac:dyDescent="0.3">
      <c r="A33"/>
      <c r="B33"/>
      <c r="C33"/>
      <c r="D33"/>
      <c r="E33"/>
      <c r="F33"/>
      <c r="G33"/>
    </row>
    <row r="34" spans="1:7" ht="14.4" x14ac:dyDescent="0.3">
      <c r="A34"/>
      <c r="B34"/>
      <c r="C34"/>
      <c r="D34"/>
      <c r="E34"/>
      <c r="F34"/>
      <c r="G34"/>
    </row>
    <row r="35" spans="1:7" ht="14.4" x14ac:dyDescent="0.3">
      <c r="A35"/>
      <c r="B35"/>
      <c r="C35"/>
      <c r="D35"/>
      <c r="E35"/>
      <c r="F35"/>
      <c r="G35"/>
    </row>
    <row r="36" spans="1:7" ht="14.4" x14ac:dyDescent="0.3">
      <c r="A36"/>
      <c r="B36"/>
      <c r="C36"/>
      <c r="D36"/>
      <c r="E36"/>
      <c r="F36"/>
      <c r="G36"/>
    </row>
    <row r="37" spans="1:7" ht="14.4" x14ac:dyDescent="0.3">
      <c r="A37"/>
      <c r="B37"/>
      <c r="C37"/>
      <c r="D37"/>
      <c r="E37"/>
      <c r="F37"/>
      <c r="G37"/>
    </row>
    <row r="38" spans="1:7" ht="14.4" x14ac:dyDescent="0.3">
      <c r="A38"/>
      <c r="B38"/>
      <c r="C38"/>
      <c r="D38"/>
      <c r="E38"/>
      <c r="F38"/>
      <c r="G38"/>
    </row>
    <row r="39" spans="1:7" ht="14.4" x14ac:dyDescent="0.3">
      <c r="A39"/>
      <c r="B39"/>
      <c r="C39"/>
      <c r="D39"/>
      <c r="E39"/>
      <c r="F39"/>
      <c r="G39"/>
    </row>
    <row r="40" spans="1:7" ht="14.4" x14ac:dyDescent="0.3">
      <c r="A40"/>
      <c r="B40"/>
      <c r="C40"/>
      <c r="D40"/>
      <c r="E40"/>
      <c r="F40"/>
      <c r="G40"/>
    </row>
    <row r="41" spans="1:7" ht="14.4" x14ac:dyDescent="0.3">
      <c r="A41"/>
      <c r="B41"/>
      <c r="C41"/>
      <c r="D41"/>
      <c r="E41"/>
      <c r="F41"/>
      <c r="G41"/>
    </row>
    <row r="42" spans="1:7" ht="14.4" x14ac:dyDescent="0.3">
      <c r="A42"/>
      <c r="B42"/>
      <c r="C42"/>
      <c r="D42"/>
      <c r="E42"/>
      <c r="F42"/>
      <c r="G42"/>
    </row>
    <row r="43" spans="1:7" ht="14.4" x14ac:dyDescent="0.3">
      <c r="A43"/>
      <c r="B43"/>
      <c r="C43"/>
      <c r="D43"/>
      <c r="E43"/>
      <c r="F43"/>
      <c r="G43"/>
    </row>
    <row r="44" spans="1:7" ht="14.4" x14ac:dyDescent="0.3">
      <c r="A44"/>
      <c r="B44"/>
      <c r="C44"/>
      <c r="D44"/>
      <c r="E44"/>
      <c r="F44"/>
      <c r="G44"/>
    </row>
    <row r="45" spans="1:7" ht="14.4" x14ac:dyDescent="0.3">
      <c r="A45"/>
      <c r="B45"/>
      <c r="C45"/>
      <c r="D45"/>
      <c r="E45"/>
      <c r="F45"/>
      <c r="G45"/>
    </row>
    <row r="46" spans="1:7" ht="14.4" x14ac:dyDescent="0.3">
      <c r="A46"/>
      <c r="B46"/>
      <c r="C46"/>
      <c r="D46"/>
      <c r="E46"/>
      <c r="F46"/>
      <c r="G46"/>
    </row>
    <row r="47" spans="1:7" ht="14.4" x14ac:dyDescent="0.3">
      <c r="A47"/>
      <c r="B47"/>
      <c r="C47"/>
      <c r="D47"/>
      <c r="E47"/>
      <c r="F47"/>
      <c r="G47"/>
    </row>
    <row r="48" spans="1:7" ht="14.4" x14ac:dyDescent="0.3">
      <c r="A48"/>
      <c r="B48"/>
      <c r="C48"/>
      <c r="D48"/>
      <c r="E48"/>
      <c r="F48"/>
      <c r="G48"/>
    </row>
    <row r="49" spans="1:126" ht="14.4" x14ac:dyDescent="0.3">
      <c r="A49"/>
      <c r="B49"/>
      <c r="C49"/>
      <c r="D49"/>
      <c r="E49"/>
      <c r="F49"/>
      <c r="G49"/>
    </row>
    <row r="50" spans="1:126" ht="14.4" x14ac:dyDescent="0.3">
      <c r="A50"/>
      <c r="B50"/>
      <c r="C50"/>
      <c r="D50"/>
      <c r="E50"/>
      <c r="F50"/>
      <c r="G50"/>
    </row>
    <row r="51" spans="1:126" ht="14.4" x14ac:dyDescent="0.3">
      <c r="A51"/>
      <c r="B51"/>
      <c r="C51"/>
      <c r="D51"/>
      <c r="E51"/>
      <c r="F51"/>
      <c r="G51"/>
    </row>
    <row r="52" spans="1:126" ht="14.4" x14ac:dyDescent="0.3">
      <c r="A52"/>
      <c r="B52"/>
      <c r="C52"/>
      <c r="D52"/>
      <c r="E52"/>
      <c r="F52"/>
      <c r="G52"/>
    </row>
    <row r="53" spans="1:126" ht="14.4" x14ac:dyDescent="0.3">
      <c r="A53"/>
      <c r="B53"/>
      <c r="C53"/>
      <c r="D53"/>
      <c r="E53"/>
      <c r="F53"/>
      <c r="G53"/>
    </row>
    <row r="54" spans="1:126" ht="14.4" x14ac:dyDescent="0.3">
      <c r="A54"/>
      <c r="B54"/>
      <c r="C54"/>
      <c r="D54"/>
      <c r="E54"/>
      <c r="F54"/>
      <c r="G54"/>
    </row>
    <row r="55" spans="1:126" ht="14.4" x14ac:dyDescent="0.3">
      <c r="A55"/>
      <c r="B55"/>
      <c r="C55"/>
      <c r="D55"/>
      <c r="E55"/>
      <c r="F55"/>
      <c r="G55"/>
    </row>
    <row r="56" spans="1:126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</row>
    <row r="57" spans="1:126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</row>
    <row r="58" spans="1:126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</row>
    <row r="59" spans="1:126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</row>
    <row r="60" spans="1:126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</row>
    <row r="61" spans="1:126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</row>
    <row r="62" spans="1:126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</row>
    <row r="63" spans="1:126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</row>
    <row r="64" spans="1:126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</row>
    <row r="65" spans="1:114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</row>
    <row r="66" spans="1:114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</row>
    <row r="67" spans="1:114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</row>
    <row r="68" spans="1:114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</row>
    <row r="69" spans="1:114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</row>
    <row r="70" spans="1:114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</row>
    <row r="71" spans="1:114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</row>
    <row r="72" spans="1:114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</row>
    <row r="73" spans="1:114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</row>
    <row r="74" spans="1:114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</row>
    <row r="75" spans="1:114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</row>
    <row r="76" spans="1:114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</row>
    <row r="77" spans="1:114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ht="14.4" x14ac:dyDescent="0.3">
      <c r="A83"/>
      <c r="B83"/>
      <c r="C83"/>
      <c r="D83"/>
      <c r="E83"/>
      <c r="F83"/>
      <c r="G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ht="14.4" x14ac:dyDescent="0.3">
      <c r="A84"/>
      <c r="B84"/>
      <c r="C84"/>
      <c r="D84"/>
      <c r="E84"/>
      <c r="F84"/>
      <c r="G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</row>
    <row r="85" spans="1:114" ht="14.4" x14ac:dyDescent="0.3">
      <c r="A85"/>
      <c r="B85"/>
      <c r="C85"/>
      <c r="D85"/>
      <c r="E85"/>
      <c r="F85"/>
      <c r="G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</row>
    <row r="86" spans="1:114" ht="14.4" x14ac:dyDescent="0.3">
      <c r="A86"/>
      <c r="B86"/>
      <c r="C86"/>
      <c r="D86"/>
      <c r="E86"/>
      <c r="F86"/>
      <c r="G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</row>
    <row r="87" spans="1:114" ht="14.4" x14ac:dyDescent="0.3">
      <c r="A87"/>
      <c r="B87"/>
      <c r="C87"/>
      <c r="D87"/>
      <c r="E87"/>
      <c r="F87"/>
      <c r="G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</row>
    <row r="88" spans="1:114" ht="14.4" x14ac:dyDescent="0.3">
      <c r="A88"/>
      <c r="B88"/>
      <c r="C88"/>
      <c r="D88"/>
      <c r="E88"/>
      <c r="F88"/>
      <c r="G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</row>
    <row r="89" spans="1:114" ht="14.4" x14ac:dyDescent="0.3">
      <c r="A89"/>
      <c r="B89"/>
      <c r="C89"/>
      <c r="D89"/>
      <c r="E89"/>
      <c r="F89"/>
      <c r="G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114" ht="14.4" x14ac:dyDescent="0.3">
      <c r="A90"/>
      <c r="B90"/>
      <c r="C90"/>
      <c r="D90"/>
      <c r="E90"/>
      <c r="F90"/>
      <c r="G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114" ht="14.4" x14ac:dyDescent="0.3">
      <c r="A91"/>
      <c r="B91"/>
      <c r="C91"/>
      <c r="D91"/>
      <c r="E91"/>
      <c r="F91"/>
      <c r="G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114" ht="14.4" x14ac:dyDescent="0.3">
      <c r="A92"/>
      <c r="B92"/>
      <c r="C92"/>
      <c r="D92"/>
      <c r="E92"/>
      <c r="F92"/>
      <c r="G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114" ht="14.4" x14ac:dyDescent="0.3">
      <c r="A93"/>
      <c r="B93"/>
      <c r="C93"/>
      <c r="D93"/>
      <c r="E93"/>
      <c r="F93"/>
      <c r="G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114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114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114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ht="14.4" x14ac:dyDescent="0.3"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ht="14.4" x14ac:dyDescent="0.3"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ht="14.4" x14ac:dyDescent="0.3"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ht="14.4" x14ac:dyDescent="0.3"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ht="14.4" x14ac:dyDescent="0.3"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ht="14.4" x14ac:dyDescent="0.3"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ht="14.4" x14ac:dyDescent="0.3"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ht="14.4" x14ac:dyDescent="0.3"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ht="14.4" x14ac:dyDescent="0.3">
      <c r="H116"/>
      <c r="I116"/>
      <c r="J116"/>
    </row>
    <row r="117" spans="1:25" ht="14.4" x14ac:dyDescent="0.3">
      <c r="H117"/>
      <c r="I117"/>
      <c r="J117"/>
    </row>
    <row r="118" spans="1:25" ht="14.4" x14ac:dyDescent="0.3">
      <c r="H118"/>
      <c r="I118"/>
      <c r="J118"/>
    </row>
    <row r="119" spans="1:25" ht="14.4" x14ac:dyDescent="0.3">
      <c r="H119"/>
      <c r="I119"/>
      <c r="J119"/>
    </row>
    <row r="120" spans="1:25" ht="14.4" x14ac:dyDescent="0.3">
      <c r="H120"/>
      <c r="I120"/>
      <c r="J120"/>
    </row>
    <row r="121" spans="1:25" ht="14.4" x14ac:dyDescent="0.3">
      <c r="A121" s="8" t="s">
        <v>54</v>
      </c>
      <c r="B121" t="s">
        <v>55</v>
      </c>
      <c r="H121"/>
      <c r="I121"/>
    </row>
    <row r="122" spans="1:25" ht="14.4" x14ac:dyDescent="0.3">
      <c r="A122" s="9" t="s">
        <v>43</v>
      </c>
      <c r="B122" s="6">
        <v>1</v>
      </c>
      <c r="H122"/>
      <c r="I122"/>
    </row>
    <row r="123" spans="1:25" ht="14.4" x14ac:dyDescent="0.3">
      <c r="A123" s="9" t="s">
        <v>44</v>
      </c>
      <c r="B123" s="6">
        <v>1</v>
      </c>
      <c r="H123"/>
      <c r="I123"/>
    </row>
    <row r="124" spans="1:25" ht="14.4" x14ac:dyDescent="0.3">
      <c r="A124"/>
      <c r="B124"/>
      <c r="H124"/>
      <c r="I124"/>
    </row>
    <row r="125" spans="1:25" ht="14.4" x14ac:dyDescent="0.3">
      <c r="A125"/>
      <c r="B125"/>
      <c r="C125"/>
      <c r="D125"/>
      <c r="E125"/>
      <c r="F125"/>
      <c r="G125"/>
      <c r="H125"/>
      <c r="I125"/>
    </row>
    <row r="126" spans="1:25" ht="14.4" x14ac:dyDescent="0.3">
      <c r="A126"/>
      <c r="B126"/>
      <c r="C126"/>
      <c r="D126"/>
      <c r="E126"/>
      <c r="F126"/>
      <c r="G126"/>
      <c r="H126"/>
      <c r="I126"/>
    </row>
    <row r="127" spans="1:25" ht="14.4" x14ac:dyDescent="0.3">
      <c r="A127"/>
      <c r="B127"/>
      <c r="C127"/>
      <c r="D127"/>
      <c r="E127"/>
      <c r="F127"/>
      <c r="G127"/>
      <c r="H127"/>
      <c r="I127"/>
    </row>
    <row r="128" spans="1:25" ht="14.4" x14ac:dyDescent="0.3">
      <c r="A128"/>
      <c r="B128"/>
      <c r="C128"/>
      <c r="D128"/>
      <c r="E128"/>
      <c r="F128"/>
      <c r="G128"/>
      <c r="H128"/>
      <c r="I128"/>
    </row>
    <row r="129" spans="1:138" ht="14.4" x14ac:dyDescent="0.3">
      <c r="A129"/>
      <c r="B129"/>
      <c r="C129"/>
      <c r="D129"/>
      <c r="E129"/>
      <c r="F129"/>
      <c r="G129"/>
      <c r="H129"/>
      <c r="I129"/>
    </row>
    <row r="130" spans="1:138" ht="14.4" x14ac:dyDescent="0.3">
      <c r="A130"/>
      <c r="B130"/>
      <c r="C130"/>
      <c r="D130"/>
      <c r="E130"/>
      <c r="F130"/>
      <c r="G130"/>
      <c r="H130"/>
      <c r="I130"/>
    </row>
    <row r="131" spans="1:138" ht="14.4" x14ac:dyDescent="0.3">
      <c r="A131"/>
      <c r="B131"/>
      <c r="C131"/>
      <c r="D131"/>
      <c r="E131"/>
      <c r="F131"/>
      <c r="G131"/>
      <c r="H131"/>
      <c r="I131"/>
    </row>
    <row r="132" spans="1:138" ht="14.4" x14ac:dyDescent="0.3">
      <c r="A132"/>
      <c r="B132"/>
      <c r="C132"/>
      <c r="D132"/>
      <c r="E132"/>
      <c r="F132"/>
    </row>
    <row r="133" spans="1:138" ht="14.4" x14ac:dyDescent="0.3">
      <c r="A133"/>
      <c r="B133"/>
      <c r="C133"/>
      <c r="D133"/>
      <c r="E133"/>
      <c r="F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</row>
    <row r="134" spans="1:138" ht="14.4" x14ac:dyDescent="0.3">
      <c r="A134"/>
      <c r="B134"/>
      <c r="C134"/>
      <c r="D134"/>
      <c r="E134"/>
      <c r="F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</row>
    <row r="135" spans="1:138" ht="14.4" x14ac:dyDescent="0.3">
      <c r="A135"/>
      <c r="B135"/>
      <c r="C135"/>
      <c r="D135"/>
      <c r="E135"/>
      <c r="F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</row>
    <row r="136" spans="1:138" ht="14.4" x14ac:dyDescent="0.3">
      <c r="A136"/>
      <c r="B136"/>
      <c r="C136"/>
      <c r="D136"/>
      <c r="E136"/>
      <c r="F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</row>
    <row r="137" spans="1:138" ht="14.4" x14ac:dyDescent="0.3">
      <c r="A137"/>
      <c r="B137"/>
      <c r="C137"/>
      <c r="D137"/>
      <c r="E137"/>
      <c r="F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</row>
    <row r="138" spans="1:138" ht="14.4" x14ac:dyDescent="0.3">
      <c r="A138"/>
      <c r="B138"/>
      <c r="C138"/>
      <c r="D138"/>
      <c r="E138"/>
      <c r="F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</row>
    <row r="139" spans="1:138" ht="14.4" x14ac:dyDescent="0.3">
      <c r="A139"/>
      <c r="B139"/>
      <c r="C139"/>
      <c r="D139"/>
      <c r="E139"/>
      <c r="F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</row>
    <row r="140" spans="1:138" ht="14.4" x14ac:dyDescent="0.3">
      <c r="A140"/>
      <c r="B140"/>
      <c r="C140"/>
      <c r="D140"/>
      <c r="E140"/>
      <c r="F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</row>
    <row r="143" spans="1:138" ht="14.4" x14ac:dyDescent="0.3">
      <c r="A143" s="8" t="s">
        <v>8</v>
      </c>
      <c r="B143" s="5" t="s">
        <v>52</v>
      </c>
    </row>
    <row r="144" spans="1:138" ht="14.4" x14ac:dyDescent="0.3">
      <c r="F144" s="5"/>
      <c r="G144"/>
      <c r="H144"/>
      <c r="I144"/>
    </row>
    <row r="145" spans="1:9" ht="14.4" x14ac:dyDescent="0.3">
      <c r="A145" s="8" t="s">
        <v>53</v>
      </c>
      <c r="B145"/>
      <c r="F145" s="5"/>
      <c r="G145"/>
      <c r="H145"/>
      <c r="I145"/>
    </row>
    <row r="146" spans="1:9" ht="14.4" x14ac:dyDescent="0.3">
      <c r="A146" s="9" t="s">
        <v>45</v>
      </c>
      <c r="B146" s="6">
        <v>1</v>
      </c>
      <c r="F146" s="5"/>
      <c r="G146"/>
      <c r="H146"/>
      <c r="I146"/>
    </row>
    <row r="147" spans="1:9" ht="14.4" x14ac:dyDescent="0.3">
      <c r="A147" s="9" t="s">
        <v>46</v>
      </c>
      <c r="B147" s="6">
        <v>1</v>
      </c>
      <c r="F147"/>
      <c r="G147"/>
      <c r="H147"/>
      <c r="I147"/>
    </row>
    <row r="148" spans="1:9" ht="14.4" x14ac:dyDescent="0.3">
      <c r="A148" s="9" t="s">
        <v>47</v>
      </c>
      <c r="B148" s="6">
        <v>1</v>
      </c>
      <c r="F148"/>
      <c r="G148"/>
      <c r="H148"/>
      <c r="I148"/>
    </row>
    <row r="149" spans="1:9" ht="14.4" x14ac:dyDescent="0.3">
      <c r="A149" s="9" t="s">
        <v>48</v>
      </c>
      <c r="B149" s="6">
        <v>1</v>
      </c>
      <c r="F149"/>
      <c r="G149"/>
      <c r="H149"/>
      <c r="I149"/>
    </row>
    <row r="150" spans="1:9" ht="14.4" x14ac:dyDescent="0.3">
      <c r="A150" s="9" t="s">
        <v>49</v>
      </c>
      <c r="B150" s="6">
        <v>1</v>
      </c>
      <c r="F150"/>
      <c r="G150"/>
      <c r="H150"/>
      <c r="I150"/>
    </row>
    <row r="151" spans="1:9" ht="14.4" x14ac:dyDescent="0.3">
      <c r="F151"/>
      <c r="G151"/>
      <c r="H151"/>
      <c r="I151"/>
    </row>
    <row r="152" spans="1:9" ht="14.4" x14ac:dyDescent="0.3">
      <c r="F152"/>
    </row>
    <row r="153" spans="1:9" ht="14.4" x14ac:dyDescent="0.3">
      <c r="F153"/>
    </row>
    <row r="154" spans="1:9" ht="14.4" x14ac:dyDescent="0.3">
      <c r="A154"/>
      <c r="B154"/>
      <c r="C154"/>
      <c r="D154"/>
      <c r="E154"/>
      <c r="F154"/>
    </row>
    <row r="155" spans="1:9" ht="14.4" x14ac:dyDescent="0.3">
      <c r="A155"/>
      <c r="B155"/>
      <c r="C155"/>
      <c r="D155"/>
      <c r="E155"/>
      <c r="F155"/>
    </row>
    <row r="156" spans="1:9" ht="14.4" x14ac:dyDescent="0.3">
      <c r="A156"/>
      <c r="B156"/>
      <c r="C156"/>
      <c r="D156"/>
      <c r="E156"/>
      <c r="F156"/>
    </row>
    <row r="157" spans="1:9" ht="14.4" x14ac:dyDescent="0.3">
      <c r="A157"/>
      <c r="B157"/>
      <c r="C157"/>
      <c r="D157"/>
      <c r="E157"/>
      <c r="F157"/>
    </row>
    <row r="158" spans="1:9" ht="14.4" x14ac:dyDescent="0.3">
      <c r="A158"/>
      <c r="B158"/>
      <c r="C158"/>
      <c r="D158"/>
      <c r="E158"/>
      <c r="F158"/>
    </row>
    <row r="159" spans="1:9" ht="14.4" x14ac:dyDescent="0.3">
      <c r="A159"/>
      <c r="B159"/>
      <c r="C159"/>
      <c r="D159"/>
      <c r="E159"/>
      <c r="F159"/>
    </row>
    <row r="160" spans="1:9" ht="14.4" x14ac:dyDescent="0.3">
      <c r="A160"/>
      <c r="B160"/>
      <c r="C160"/>
      <c r="D160"/>
      <c r="E160"/>
      <c r="F160"/>
    </row>
    <row r="161" spans="1:7" ht="14.4" x14ac:dyDescent="0.3">
      <c r="A161"/>
      <c r="B161"/>
      <c r="C161"/>
      <c r="D161"/>
      <c r="E161"/>
      <c r="F161"/>
    </row>
    <row r="162" spans="1:7" ht="14.4" x14ac:dyDescent="0.3">
      <c r="A162"/>
      <c r="B162"/>
      <c r="C162"/>
      <c r="D162"/>
      <c r="E162"/>
      <c r="F162"/>
    </row>
    <row r="163" spans="1:7" ht="14.4" x14ac:dyDescent="0.3">
      <c r="A163"/>
      <c r="B163"/>
      <c r="C163"/>
      <c r="D163"/>
      <c r="E163"/>
      <c r="F163"/>
    </row>
    <row r="164" spans="1:7" ht="14.4" x14ac:dyDescent="0.3">
      <c r="A164"/>
      <c r="B164"/>
      <c r="C164"/>
      <c r="D164"/>
      <c r="E164"/>
      <c r="F164"/>
    </row>
    <row r="165" spans="1:7" ht="14.4" x14ac:dyDescent="0.3">
      <c r="A165" s="8" t="s">
        <v>42</v>
      </c>
      <c r="B165" s="5" t="s">
        <v>43</v>
      </c>
      <c r="C165"/>
      <c r="D165"/>
      <c r="E165"/>
      <c r="F165"/>
      <c r="G165"/>
    </row>
    <row r="166" spans="1:7" ht="14.4" x14ac:dyDescent="0.3">
      <c r="A166" s="8" t="s">
        <v>60</v>
      </c>
      <c r="B166" s="5" t="s">
        <v>52</v>
      </c>
      <c r="C166"/>
      <c r="D166"/>
      <c r="E166"/>
      <c r="F166"/>
      <c r="G166"/>
    </row>
    <row r="167" spans="1:7" ht="14.4" x14ac:dyDescent="0.3">
      <c r="A167"/>
      <c r="B167"/>
      <c r="C167"/>
      <c r="D167"/>
      <c r="E167"/>
      <c r="F167"/>
      <c r="G167"/>
    </row>
    <row r="168" spans="1:7" ht="14.4" x14ac:dyDescent="0.3">
      <c r="A168" s="8" t="s">
        <v>58</v>
      </c>
      <c r="B168" s="8" t="s">
        <v>57</v>
      </c>
      <c r="C168"/>
      <c r="D168"/>
      <c r="E168"/>
      <c r="F168"/>
      <c r="G168"/>
    </row>
    <row r="169" spans="1:7" ht="14.4" x14ac:dyDescent="0.3">
      <c r="A169" s="8" t="s">
        <v>56</v>
      </c>
      <c r="B169" s="5" t="s">
        <v>43</v>
      </c>
      <c r="C169" s="5" t="s">
        <v>44</v>
      </c>
      <c r="D169"/>
      <c r="E169"/>
      <c r="F169"/>
      <c r="G169"/>
    </row>
    <row r="170" spans="1:7" ht="14.4" x14ac:dyDescent="0.3">
      <c r="A170" s="9" t="s">
        <v>43</v>
      </c>
      <c r="B170" s="11"/>
      <c r="C170" s="11"/>
      <c r="D170"/>
      <c r="E170"/>
      <c r="F170"/>
      <c r="G170"/>
    </row>
    <row r="171" spans="1:7" ht="14.4" x14ac:dyDescent="0.3">
      <c r="A171" s="9" t="s">
        <v>44</v>
      </c>
      <c r="B171" s="11"/>
      <c r="C171" s="11"/>
      <c r="D171"/>
      <c r="E171"/>
      <c r="F171"/>
      <c r="G171"/>
    </row>
    <row r="172" spans="1:7" ht="14.4" x14ac:dyDescent="0.3">
      <c r="A172"/>
      <c r="B172"/>
      <c r="C172"/>
      <c r="D172"/>
      <c r="E172"/>
      <c r="F172"/>
      <c r="G172"/>
    </row>
    <row r="173" spans="1:7" ht="14.4" x14ac:dyDescent="0.3">
      <c r="A173"/>
      <c r="B173"/>
      <c r="C173"/>
      <c r="D173"/>
      <c r="E173"/>
      <c r="F173"/>
      <c r="G173"/>
    </row>
    <row r="174" spans="1:7" ht="14.4" x14ac:dyDescent="0.3">
      <c r="A174"/>
      <c r="B174"/>
      <c r="C174"/>
      <c r="D174"/>
      <c r="E174"/>
      <c r="F174"/>
      <c r="G174"/>
    </row>
    <row r="181" spans="1:6" ht="14.4" x14ac:dyDescent="0.3">
      <c r="A181"/>
      <c r="B181"/>
      <c r="C181"/>
      <c r="D181"/>
      <c r="E181"/>
      <c r="F181"/>
    </row>
    <row r="182" spans="1:6" ht="14.4" x14ac:dyDescent="0.3">
      <c r="F182"/>
    </row>
    <row r="183" spans="1:6" ht="14.4" x14ac:dyDescent="0.3">
      <c r="F183"/>
    </row>
    <row r="184" spans="1:6" ht="14.4" x14ac:dyDescent="0.3">
      <c r="F184"/>
    </row>
    <row r="185" spans="1:6" ht="14.4" x14ac:dyDescent="0.3">
      <c r="F185"/>
    </row>
    <row r="186" spans="1:6" ht="14.4" x14ac:dyDescent="0.3">
      <c r="F186"/>
    </row>
    <row r="187" spans="1:6" ht="14.4" x14ac:dyDescent="0.3">
      <c r="F187"/>
    </row>
    <row r="188" spans="1:6" ht="14.4" x14ac:dyDescent="0.3">
      <c r="F188"/>
    </row>
    <row r="189" spans="1:6" ht="14.4" x14ac:dyDescent="0.3">
      <c r="F189"/>
    </row>
    <row r="190" spans="1:6" ht="14.4" x14ac:dyDescent="0.3">
      <c r="F190"/>
    </row>
    <row r="191" spans="1:6" ht="14.4" x14ac:dyDescent="0.3">
      <c r="F191"/>
    </row>
    <row r="192" spans="1:6" ht="14.4" x14ac:dyDescent="0.3">
      <c r="A192"/>
      <c r="B192"/>
      <c r="C192"/>
      <c r="D192"/>
      <c r="E192"/>
      <c r="F192"/>
    </row>
    <row r="193" spans="1:6" ht="14.4" x14ac:dyDescent="0.3">
      <c r="A193" s="8" t="s">
        <v>42</v>
      </c>
      <c r="B193" s="5" t="s">
        <v>43</v>
      </c>
      <c r="C193" s="5"/>
      <c r="D193" s="5"/>
      <c r="E193" s="5"/>
      <c r="F193"/>
    </row>
    <row r="194" spans="1:6" ht="14.4" x14ac:dyDescent="0.3">
      <c r="A194" s="8" t="s">
        <v>60</v>
      </c>
      <c r="B194" s="5" t="s">
        <v>43</v>
      </c>
      <c r="C194" s="5"/>
      <c r="D194" s="5"/>
      <c r="E194" s="5"/>
      <c r="F194"/>
    </row>
    <row r="195" spans="1:6" ht="14.4" x14ac:dyDescent="0.3">
      <c r="A195" s="5"/>
      <c r="B195" s="5"/>
      <c r="C195" s="5"/>
      <c r="D195" s="5"/>
      <c r="E195" s="5"/>
      <c r="F195"/>
    </row>
    <row r="196" spans="1:6" ht="14.4" x14ac:dyDescent="0.3">
      <c r="A196" s="8" t="s">
        <v>66</v>
      </c>
      <c r="B196" s="8" t="s">
        <v>57</v>
      </c>
      <c r="C196"/>
      <c r="D196"/>
      <c r="E196"/>
      <c r="F196"/>
    </row>
    <row r="197" spans="1:6" ht="14.4" x14ac:dyDescent="0.3">
      <c r="A197" s="8" t="s">
        <v>56</v>
      </c>
      <c r="B197" s="5" t="s">
        <v>43</v>
      </c>
      <c r="C197" s="5" t="s">
        <v>44</v>
      </c>
      <c r="D197"/>
      <c r="E197"/>
      <c r="F197"/>
    </row>
    <row r="198" spans="1:6" ht="14.4" x14ac:dyDescent="0.3">
      <c r="A198" s="9" t="s">
        <v>43</v>
      </c>
      <c r="B198" s="11"/>
      <c r="C198" s="11"/>
      <c r="D198"/>
      <c r="E198"/>
      <c r="F198"/>
    </row>
    <row r="199" spans="1:6" ht="14.4" x14ac:dyDescent="0.3">
      <c r="A199" s="9" t="s">
        <v>44</v>
      </c>
      <c r="B199" s="11"/>
      <c r="C199" s="11"/>
      <c r="D199"/>
      <c r="E199"/>
      <c r="F199"/>
    </row>
    <row r="200" spans="1:6" ht="14.4" x14ac:dyDescent="0.3">
      <c r="A200"/>
      <c r="B200"/>
      <c r="C200"/>
      <c r="D200"/>
      <c r="E200"/>
      <c r="F200"/>
    </row>
    <row r="201" spans="1:6" ht="14.4" x14ac:dyDescent="0.3">
      <c r="A201"/>
      <c r="B201"/>
      <c r="C201"/>
      <c r="D201"/>
      <c r="E201"/>
      <c r="F201"/>
    </row>
    <row r="202" spans="1:6" ht="14.4" x14ac:dyDescent="0.3">
      <c r="A202"/>
      <c r="B202"/>
      <c r="C202"/>
      <c r="D202"/>
      <c r="E202"/>
      <c r="F202"/>
    </row>
    <row r="203" spans="1:6" ht="14.4" x14ac:dyDescent="0.3">
      <c r="A203"/>
      <c r="B203"/>
      <c r="C203"/>
      <c r="D203"/>
      <c r="E203"/>
      <c r="F203"/>
    </row>
    <row r="204" spans="1:6" ht="14.4" x14ac:dyDescent="0.3">
      <c r="A204"/>
      <c r="B204"/>
      <c r="C204"/>
      <c r="D204"/>
      <c r="E204"/>
      <c r="F204"/>
    </row>
    <row r="205" spans="1:6" ht="14.4" x14ac:dyDescent="0.3">
      <c r="A205"/>
      <c r="B205"/>
      <c r="C205"/>
      <c r="D205"/>
      <c r="E205"/>
      <c r="F205"/>
    </row>
    <row r="206" spans="1:6" ht="14.4" x14ac:dyDescent="0.3">
      <c r="A206"/>
      <c r="B206"/>
      <c r="C206"/>
      <c r="D206"/>
      <c r="E206"/>
      <c r="F206"/>
    </row>
    <row r="207" spans="1:6" ht="14.4" x14ac:dyDescent="0.3">
      <c r="A207"/>
      <c r="B207"/>
      <c r="C207"/>
      <c r="D207"/>
      <c r="E207"/>
      <c r="F207"/>
    </row>
    <row r="208" spans="1:6" ht="14.4" x14ac:dyDescent="0.3">
      <c r="A208"/>
      <c r="B208"/>
    </row>
    <row r="209" spans="1:2" ht="14.4" x14ac:dyDescent="0.3">
      <c r="A209"/>
      <c r="B209"/>
    </row>
    <row r="210" spans="1:2" ht="14.4" x14ac:dyDescent="0.3">
      <c r="A210"/>
      <c r="B210"/>
    </row>
    <row r="211" spans="1:2" ht="14.4" x14ac:dyDescent="0.3">
      <c r="A211"/>
      <c r="B211"/>
    </row>
    <row r="212" spans="1:2" ht="14.4" x14ac:dyDescent="0.3">
      <c r="A212"/>
      <c r="B212"/>
    </row>
    <row r="213" spans="1:2" ht="14.4" x14ac:dyDescent="0.3">
      <c r="A213"/>
      <c r="B213"/>
    </row>
    <row r="214" spans="1:2" ht="14.4" x14ac:dyDescent="0.3">
      <c r="A214"/>
      <c r="B214"/>
    </row>
    <row r="215" spans="1:2" ht="14.4" x14ac:dyDescent="0.3">
      <c r="A215"/>
      <c r="B215"/>
    </row>
    <row r="216" spans="1:2" ht="14.4" x14ac:dyDescent="0.3">
      <c r="A216"/>
      <c r="B216"/>
    </row>
    <row r="217" spans="1:2" ht="14.4" x14ac:dyDescent="0.3">
      <c r="A217"/>
      <c r="B217"/>
    </row>
    <row r="218" spans="1:2" ht="14.4" x14ac:dyDescent="0.3">
      <c r="A218"/>
      <c r="B218"/>
    </row>
    <row r="219" spans="1:2" ht="14.4" x14ac:dyDescent="0.3">
      <c r="A219"/>
      <c r="B219"/>
    </row>
    <row r="220" spans="1:2" ht="14.4" x14ac:dyDescent="0.3">
      <c r="A220"/>
      <c r="B220"/>
    </row>
    <row r="221" spans="1:2" ht="14.4" x14ac:dyDescent="0.3">
      <c r="A221"/>
      <c r="B221"/>
    </row>
    <row r="222" spans="1:2" ht="14.4" x14ac:dyDescent="0.3">
      <c r="A222"/>
      <c r="B222"/>
    </row>
    <row r="223" spans="1:2" ht="14.4" x14ac:dyDescent="0.3">
      <c r="A223"/>
      <c r="B223"/>
    </row>
    <row r="224" spans="1:2" ht="14.4" x14ac:dyDescent="0.3">
      <c r="A224"/>
      <c r="B224"/>
    </row>
    <row r="225" spans="1:2" ht="14.4" x14ac:dyDescent="0.3">
      <c r="A225"/>
      <c r="B225"/>
    </row>
    <row r="226" spans="1:2" ht="14.4" x14ac:dyDescent="0.3">
      <c r="A226"/>
      <c r="B226"/>
    </row>
    <row r="227" spans="1:2" ht="14.4" x14ac:dyDescent="0.3">
      <c r="A227"/>
      <c r="B227"/>
    </row>
    <row r="228" spans="1:2" ht="14.4" x14ac:dyDescent="0.3">
      <c r="A228"/>
      <c r="B228"/>
    </row>
    <row r="229" spans="1:2" ht="14.4" x14ac:dyDescent="0.3">
      <c r="A229"/>
      <c r="B229"/>
    </row>
    <row r="230" spans="1:2" ht="14.4" x14ac:dyDescent="0.3">
      <c r="A230"/>
      <c r="B230"/>
    </row>
    <row r="231" spans="1:2" ht="14.4" x14ac:dyDescent="0.3">
      <c r="A231"/>
      <c r="B231"/>
    </row>
    <row r="232" spans="1:2" ht="14.4" x14ac:dyDescent="0.3">
      <c r="A232"/>
      <c r="B232"/>
    </row>
    <row r="233" spans="1:2" ht="14.4" x14ac:dyDescent="0.3">
      <c r="A233"/>
      <c r="B233"/>
    </row>
    <row r="234" spans="1:2" ht="14.4" x14ac:dyDescent="0.3">
      <c r="A234"/>
      <c r="B234"/>
    </row>
    <row r="235" spans="1:2" ht="14.4" x14ac:dyDescent="0.3">
      <c r="A235"/>
      <c r="B235"/>
    </row>
    <row r="236" spans="1:2" ht="14.4" x14ac:dyDescent="0.3">
      <c r="A236"/>
      <c r="B236"/>
    </row>
    <row r="237" spans="1:2" ht="14.4" x14ac:dyDescent="0.3">
      <c r="A237"/>
      <c r="B237"/>
    </row>
    <row r="238" spans="1:2" ht="14.4" x14ac:dyDescent="0.3">
      <c r="A238"/>
      <c r="B238"/>
    </row>
    <row r="239" spans="1:2" ht="14.4" x14ac:dyDescent="0.3">
      <c r="A239"/>
      <c r="B239"/>
    </row>
    <row r="240" spans="1:2" ht="14.4" x14ac:dyDescent="0.3">
      <c r="A240"/>
      <c r="B240"/>
    </row>
    <row r="241" spans="1:2" ht="14.4" x14ac:dyDescent="0.3">
      <c r="A241"/>
      <c r="B241"/>
    </row>
    <row r="242" spans="1:2" ht="14.4" x14ac:dyDescent="0.3">
      <c r="A242"/>
      <c r="B242"/>
    </row>
    <row r="243" spans="1:2" ht="14.4" x14ac:dyDescent="0.3">
      <c r="A243"/>
      <c r="B243"/>
    </row>
    <row r="244" spans="1:2" ht="14.4" x14ac:dyDescent="0.3">
      <c r="A244"/>
      <c r="B244"/>
    </row>
    <row r="245" spans="1:2" ht="14.4" x14ac:dyDescent="0.3">
      <c r="A245"/>
      <c r="B245"/>
    </row>
    <row r="246" spans="1:2" ht="14.4" x14ac:dyDescent="0.3">
      <c r="A246"/>
      <c r="B246"/>
    </row>
    <row r="247" spans="1:2" ht="14.4" x14ac:dyDescent="0.3">
      <c r="A247"/>
      <c r="B247"/>
    </row>
    <row r="248" spans="1:2" ht="14.4" x14ac:dyDescent="0.3">
      <c r="A248"/>
      <c r="B248"/>
    </row>
    <row r="249" spans="1:2" ht="14.4" x14ac:dyDescent="0.3">
      <c r="A249"/>
      <c r="B249"/>
    </row>
    <row r="250" spans="1:2" ht="14.4" x14ac:dyDescent="0.3">
      <c r="A250"/>
      <c r="B250"/>
    </row>
    <row r="251" spans="1:2" ht="14.4" x14ac:dyDescent="0.3">
      <c r="A251"/>
      <c r="B251"/>
    </row>
    <row r="252" spans="1:2" ht="14.4" x14ac:dyDescent="0.3">
      <c r="A252"/>
      <c r="B252"/>
    </row>
    <row r="253" spans="1:2" ht="14.4" x14ac:dyDescent="0.3">
      <c r="A253"/>
      <c r="B253"/>
    </row>
    <row r="254" spans="1:2" ht="14.4" x14ac:dyDescent="0.3">
      <c r="A254"/>
      <c r="B254"/>
    </row>
    <row r="255" spans="1:2" ht="14.4" x14ac:dyDescent="0.3">
      <c r="A255"/>
      <c r="B255"/>
    </row>
    <row r="256" spans="1:2" ht="14.4" x14ac:dyDescent="0.3">
      <c r="A256"/>
      <c r="B256"/>
    </row>
    <row r="257" spans="1:2" ht="14.4" x14ac:dyDescent="0.3">
      <c r="A257"/>
      <c r="B257"/>
    </row>
    <row r="258" spans="1:2" ht="14.4" x14ac:dyDescent="0.3">
      <c r="A258"/>
      <c r="B258"/>
    </row>
    <row r="259" spans="1:2" ht="14.4" x14ac:dyDescent="0.3">
      <c r="A259"/>
      <c r="B259"/>
    </row>
    <row r="260" spans="1:2" ht="14.4" x14ac:dyDescent="0.3">
      <c r="A260"/>
      <c r="B260"/>
    </row>
    <row r="261" spans="1:2" ht="14.4" x14ac:dyDescent="0.3">
      <c r="A261"/>
      <c r="B261"/>
    </row>
    <row r="262" spans="1:2" ht="14.4" x14ac:dyDescent="0.3">
      <c r="A262"/>
      <c r="B262"/>
    </row>
    <row r="263" spans="1:2" ht="14.4" x14ac:dyDescent="0.3">
      <c r="A263"/>
      <c r="B263"/>
    </row>
    <row r="264" spans="1:2" ht="14.4" x14ac:dyDescent="0.3">
      <c r="A264"/>
      <c r="B264"/>
    </row>
    <row r="265" spans="1:2" ht="14.4" x14ac:dyDescent="0.3">
      <c r="A265"/>
      <c r="B265"/>
    </row>
    <row r="266" spans="1:2" ht="14.4" x14ac:dyDescent="0.3">
      <c r="A266"/>
      <c r="B266"/>
    </row>
    <row r="267" spans="1:2" ht="14.4" x14ac:dyDescent="0.3">
      <c r="A267"/>
      <c r="B267"/>
    </row>
    <row r="268" spans="1:2" ht="14.4" x14ac:dyDescent="0.3">
      <c r="A268"/>
      <c r="B268"/>
    </row>
    <row r="269" spans="1:2" ht="14.4" x14ac:dyDescent="0.3">
      <c r="A269"/>
      <c r="B269"/>
    </row>
    <row r="270" spans="1:2" ht="14.4" x14ac:dyDescent="0.3">
      <c r="A270"/>
      <c r="B270"/>
    </row>
    <row r="271" spans="1:2" ht="14.4" x14ac:dyDescent="0.3">
      <c r="A271"/>
      <c r="B271"/>
    </row>
    <row r="272" spans="1:2" ht="14.4" x14ac:dyDescent="0.3">
      <c r="A272"/>
      <c r="B272"/>
    </row>
    <row r="273" spans="1:2" ht="14.4" x14ac:dyDescent="0.3">
      <c r="A273"/>
      <c r="B273"/>
    </row>
    <row r="274" spans="1:2" ht="14.4" x14ac:dyDescent="0.3">
      <c r="A274"/>
      <c r="B274"/>
    </row>
    <row r="275" spans="1:2" ht="14.4" x14ac:dyDescent="0.3">
      <c r="A275"/>
      <c r="B275"/>
    </row>
    <row r="276" spans="1:2" ht="14.4" x14ac:dyDescent="0.3">
      <c r="A276"/>
      <c r="B276"/>
    </row>
    <row r="277" spans="1:2" ht="14.4" x14ac:dyDescent="0.3">
      <c r="A277"/>
      <c r="B277"/>
    </row>
    <row r="278" spans="1:2" ht="14.4" x14ac:dyDescent="0.3">
      <c r="A278"/>
      <c r="B278"/>
    </row>
    <row r="279" spans="1:2" ht="14.4" x14ac:dyDescent="0.3">
      <c r="A279"/>
      <c r="B279"/>
    </row>
    <row r="280" spans="1:2" ht="14.4" x14ac:dyDescent="0.3">
      <c r="A280"/>
      <c r="B280"/>
    </row>
    <row r="281" spans="1:2" ht="14.4" x14ac:dyDescent="0.3">
      <c r="A281"/>
      <c r="B281"/>
    </row>
    <row r="282" spans="1:2" ht="14.4" x14ac:dyDescent="0.3">
      <c r="A282"/>
      <c r="B282"/>
    </row>
    <row r="283" spans="1:2" ht="14.4" x14ac:dyDescent="0.3">
      <c r="A283"/>
      <c r="B283"/>
    </row>
    <row r="284" spans="1:2" ht="14.4" x14ac:dyDescent="0.3">
      <c r="A284"/>
      <c r="B284"/>
    </row>
    <row r="285" spans="1:2" ht="14.4" x14ac:dyDescent="0.3">
      <c r="A285"/>
      <c r="B285"/>
    </row>
    <row r="286" spans="1:2" ht="14.4" x14ac:dyDescent="0.3">
      <c r="A286"/>
      <c r="B286"/>
    </row>
    <row r="287" spans="1:2" ht="14.4" x14ac:dyDescent="0.3">
      <c r="A287"/>
      <c r="B287"/>
    </row>
    <row r="288" spans="1:2" ht="14.4" x14ac:dyDescent="0.3">
      <c r="A288"/>
      <c r="B288"/>
    </row>
    <row r="289" spans="1:2" ht="14.4" x14ac:dyDescent="0.3">
      <c r="A289"/>
      <c r="B289"/>
    </row>
    <row r="290" spans="1:2" ht="14.4" x14ac:dyDescent="0.3">
      <c r="A290"/>
      <c r="B290"/>
    </row>
    <row r="291" spans="1:2" ht="14.4" x14ac:dyDescent="0.3">
      <c r="A291"/>
      <c r="B291"/>
    </row>
    <row r="292" spans="1:2" ht="14.4" x14ac:dyDescent="0.3">
      <c r="A292"/>
      <c r="B292"/>
    </row>
    <row r="293" spans="1:2" ht="14.4" x14ac:dyDescent="0.3">
      <c r="A293"/>
      <c r="B293"/>
    </row>
    <row r="294" spans="1:2" ht="14.4" x14ac:dyDescent="0.3">
      <c r="A294"/>
      <c r="B294"/>
    </row>
    <row r="295" spans="1:2" ht="14.4" x14ac:dyDescent="0.3">
      <c r="A295"/>
      <c r="B295"/>
    </row>
    <row r="296" spans="1:2" ht="14.4" x14ac:dyDescent="0.3">
      <c r="A296"/>
      <c r="B296"/>
    </row>
    <row r="297" spans="1:2" ht="14.4" x14ac:dyDescent="0.3">
      <c r="A297"/>
      <c r="B297"/>
    </row>
    <row r="298" spans="1:2" ht="14.4" x14ac:dyDescent="0.3">
      <c r="A298"/>
      <c r="B298"/>
    </row>
    <row r="299" spans="1:2" ht="14.4" x14ac:dyDescent="0.3">
      <c r="A299"/>
      <c r="B299"/>
    </row>
    <row r="300" spans="1:2" ht="14.4" x14ac:dyDescent="0.3">
      <c r="A300"/>
      <c r="B300"/>
    </row>
    <row r="301" spans="1:2" ht="14.4" x14ac:dyDescent="0.3">
      <c r="A301"/>
      <c r="B301"/>
    </row>
    <row r="302" spans="1:2" ht="14.4" x14ac:dyDescent="0.3">
      <c r="A302"/>
      <c r="B302"/>
    </row>
  </sheetData>
  <conditionalFormatting pivot="1" sqref="G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V4"/>
  <sheetViews>
    <sheetView zoomScaleNormal="100" workbookViewId="0">
      <pane xSplit="2" ySplit="2" topLeftCell="C3" activePane="bottomRight" state="frozen"/>
      <selection pane="topRight" activeCell="D1" sqref="D1"/>
      <selection pane="bottomLeft" activeCell="A3" sqref="A3"/>
      <selection pane="bottomRight"/>
    </sheetView>
  </sheetViews>
  <sheetFormatPr defaultRowHeight="14.4" x14ac:dyDescent="0.3"/>
  <cols>
    <col min="1" max="1" width="10.6640625" style="4" bestFit="1" customWidth="1"/>
    <col min="2" max="2" width="42.77734375" style="4" bestFit="1" customWidth="1"/>
    <col min="3" max="24" width="9.77734375" style="13" customWidth="1"/>
    <col min="25" max="25" width="9.77734375" style="19" customWidth="1"/>
    <col min="26" max="27" width="9.77734375" style="13" customWidth="1"/>
    <col min="28" max="28" width="8.44140625" style="13" bestFit="1" customWidth="1"/>
    <col min="29" max="29" width="11.5546875" style="13" bestFit="1" customWidth="1"/>
    <col min="30" max="30" width="8.5546875" style="13" bestFit="1" customWidth="1"/>
    <col min="31" max="31" width="15.33203125" style="9" bestFit="1" customWidth="1"/>
    <col min="32" max="33" width="11.5546875" style="9" bestFit="1" customWidth="1"/>
    <col min="34" max="34" width="8.88671875" style="9"/>
    <col min="35" max="35" width="11.21875" style="9" customWidth="1"/>
    <col min="36" max="36" width="11.21875" style="13" customWidth="1"/>
    <col min="37" max="37" width="11.44140625" style="13" customWidth="1"/>
    <col min="38" max="39" width="9.5546875" style="13" bestFit="1" customWidth="1"/>
    <col min="40" max="40" width="8.88671875" style="13"/>
    <col min="41" max="45" width="9.77734375" style="13" customWidth="1"/>
    <col min="46" max="46" width="9.109375" style="13" bestFit="1" customWidth="1"/>
    <col min="47" max="16384" width="8.88671875" style="13"/>
  </cols>
  <sheetData>
    <row r="1" spans="1:48" x14ac:dyDescent="0.3">
      <c r="C1" s="23" t="s">
        <v>9</v>
      </c>
      <c r="D1" s="23"/>
      <c r="E1" s="23"/>
      <c r="F1" s="23"/>
      <c r="G1" s="28" t="s">
        <v>10</v>
      </c>
      <c r="H1" s="28"/>
      <c r="I1" s="28"/>
      <c r="J1" s="28"/>
      <c r="K1" s="28"/>
      <c r="L1" s="27" t="s">
        <v>11</v>
      </c>
      <c r="M1" s="27"/>
      <c r="N1" s="27"/>
      <c r="O1" s="26" t="s">
        <v>34</v>
      </c>
      <c r="P1" s="26"/>
      <c r="Q1" s="26"/>
      <c r="R1" s="26"/>
      <c r="S1" s="26"/>
      <c r="T1" s="26"/>
      <c r="U1" s="26"/>
      <c r="V1" s="26"/>
      <c r="W1" s="25" t="s">
        <v>13</v>
      </c>
      <c r="X1" s="25"/>
      <c r="Y1" s="25"/>
      <c r="Z1" s="25"/>
      <c r="AA1" s="25"/>
      <c r="AB1" s="25"/>
      <c r="AC1" s="4"/>
      <c r="AD1" s="29" t="s">
        <v>7</v>
      </c>
      <c r="AE1" s="29"/>
      <c r="AO1" s="4"/>
      <c r="AP1" s="4"/>
      <c r="AQ1" s="24" t="s">
        <v>32</v>
      </c>
      <c r="AR1" s="24"/>
      <c r="AS1" s="24"/>
      <c r="AT1" s="24"/>
      <c r="AU1" s="24"/>
      <c r="AV1" s="24"/>
    </row>
    <row r="2" spans="1:48" x14ac:dyDescent="0.3">
      <c r="A2" s="4" t="s">
        <v>0</v>
      </c>
      <c r="B2" s="4" t="s">
        <v>3</v>
      </c>
      <c r="C2" s="13" t="s">
        <v>14</v>
      </c>
      <c r="D2" s="13" t="s">
        <v>38</v>
      </c>
      <c r="E2" s="13" t="s">
        <v>39</v>
      </c>
      <c r="F2" s="13" t="s">
        <v>15</v>
      </c>
      <c r="G2" s="13" t="s">
        <v>65</v>
      </c>
      <c r="H2" s="13" t="s">
        <v>16</v>
      </c>
      <c r="I2" s="13" t="s">
        <v>17</v>
      </c>
      <c r="J2" s="13" t="s">
        <v>5</v>
      </c>
      <c r="K2" s="13" t="s">
        <v>19</v>
      </c>
      <c r="L2" s="13" t="s">
        <v>18</v>
      </c>
      <c r="M2" s="13" t="s">
        <v>4</v>
      </c>
      <c r="N2" s="13" t="s">
        <v>2</v>
      </c>
      <c r="O2" s="13" t="s">
        <v>12</v>
      </c>
      <c r="P2" s="13" t="s">
        <v>59</v>
      </c>
      <c r="Q2" s="13" t="s">
        <v>20</v>
      </c>
      <c r="R2" s="13" t="s">
        <v>21</v>
      </c>
      <c r="S2" s="13" t="s">
        <v>22</v>
      </c>
      <c r="T2" s="13" t="s">
        <v>23</v>
      </c>
      <c r="U2" s="13" t="s">
        <v>24</v>
      </c>
      <c r="V2" s="13" t="s">
        <v>41</v>
      </c>
      <c r="W2" s="13" t="s">
        <v>25</v>
      </c>
      <c r="X2" s="13" t="s">
        <v>26</v>
      </c>
      <c r="Y2" s="13" t="s">
        <v>27</v>
      </c>
      <c r="Z2" s="13" t="s">
        <v>28</v>
      </c>
      <c r="AA2" s="13" t="s">
        <v>29</v>
      </c>
      <c r="AB2" s="13" t="s">
        <v>30</v>
      </c>
      <c r="AC2" s="13" t="s">
        <v>6</v>
      </c>
      <c r="AD2" s="13" t="s">
        <v>61</v>
      </c>
      <c r="AE2" s="13" t="s">
        <v>62</v>
      </c>
      <c r="AF2" s="9" t="s">
        <v>8</v>
      </c>
      <c r="AG2" s="9" t="s">
        <v>35</v>
      </c>
      <c r="AH2" s="9" t="s">
        <v>64</v>
      </c>
      <c r="AI2" s="9" t="s">
        <v>36</v>
      </c>
      <c r="AJ2" s="9" t="s">
        <v>1</v>
      </c>
      <c r="AK2" s="9" t="s">
        <v>33</v>
      </c>
      <c r="AL2" s="13" t="s">
        <v>60</v>
      </c>
      <c r="AM2" s="13" t="s">
        <v>37</v>
      </c>
      <c r="AN2" s="13" t="s">
        <v>40</v>
      </c>
      <c r="AO2" s="13" t="s">
        <v>42</v>
      </c>
      <c r="AP2" s="13" t="s">
        <v>63</v>
      </c>
      <c r="AQ2" s="13" t="s">
        <v>9</v>
      </c>
      <c r="AR2" s="13" t="s">
        <v>10</v>
      </c>
      <c r="AS2" s="13" t="s">
        <v>11</v>
      </c>
      <c r="AT2" s="13" t="s">
        <v>34</v>
      </c>
      <c r="AU2" s="13" t="s">
        <v>13</v>
      </c>
      <c r="AV2" s="19" t="s">
        <v>31</v>
      </c>
    </row>
    <row r="3" spans="1:48" x14ac:dyDescent="0.3">
      <c r="A3" s="22"/>
      <c r="B3" s="22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20"/>
      <c r="AD3" s="7"/>
      <c r="AE3" s="7"/>
      <c r="AF3" s="21"/>
      <c r="AG3" s="21"/>
      <c r="AH3" s="21"/>
      <c r="AI3" s="21"/>
      <c r="AJ3" s="21"/>
      <c r="AK3" s="21"/>
      <c r="AL3" s="20"/>
      <c r="AM3" s="12"/>
      <c r="AN3" s="20"/>
      <c r="AO3" s="20"/>
      <c r="AP3" s="20"/>
      <c r="AQ3" s="10">
        <f>IF(OR(Status[[#This Row],[Status]] = "Open",Status[[#This Row],[Status]] = "Testing", Status[[#This Row],[Status]] = "Blocked"), SUM(Status[[#This Row],[Grooming Sessions]:[Business Approval]])/(COUNT(Status[[#This Row],[Grooming Sessions]:[Business Approval]]) * 2), 1)</f>
        <v>1</v>
      </c>
      <c r="AR3" s="10">
        <f>IF(OR(Status[[#This Row],[Status]] = "Open", Status[[#This Row],[Status]] = "Testing",Status[[#This Row],[Status]] = "Blocked"), SUM(Status[[#This Row],[Analysis]:[Ready for Dev Team review]])/(COUNT(Status[[#This Row],[Analysis]:[Ready for Dev Team review]]) * 2), 1)</f>
        <v>1</v>
      </c>
      <c r="AS3" s="10">
        <f>IF(OR(Status[[#This Row],[Status]] = "Open",Status[[#This Row],[Status]] = "Testing", Status[[#This Row],[Status]] = "Blocked"), SUM(Status[[#This Row],[Techincal Design Document]:[Ready for Development]])/(COUNT(Status[[#This Row],[Techincal Design Document]:[Ready for Development]]) * 2), 1)</f>
        <v>1</v>
      </c>
      <c r="AT3" s="10">
        <f>IF(OR(Status[[#This Row],[Status]] = "Open", Status[[#This Row],[Status]] = "Testing",Status[[#This Row],[Status]] = "Blocked"), SUM(Status[[#This Row],[Development]:[Update TDD, Data Dictionary and Jira]])/(COUNT(Status[[#This Row],[Development]:[Update TDD, Data Dictionary and Jira]]) * 2), 1)</f>
        <v>1</v>
      </c>
      <c r="AU3" s="10">
        <f>IF(OR(Status[[#This Row],[Status]] = "Open", Status[[#This Row],[Status]] = "Testing",Status[[#This Row],[Status]] = "Blocked"), SUM(Status[[#This Row],[ACECI]:[Production]])/(COUNT(Status[[#This Row],[ACECI]:[Production]]) * 2), 1)</f>
        <v>1</v>
      </c>
      <c r="AV3" s="18">
        <f>AVERAGE(Status[[#This Row],[Functional Grooming]:[Testing]])</f>
        <v>1</v>
      </c>
    </row>
    <row r="4" spans="1:48" x14ac:dyDescent="0.3"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>
        <f>SUBTOTAL(109,Status[Estimated])</f>
        <v>0</v>
      </c>
      <c r="AE4" s="17">
        <f>SUBTOTAL(109,Status[Actual])</f>
        <v>0</v>
      </c>
      <c r="AJ4" s="9"/>
      <c r="AK4" s="3"/>
      <c r="AQ4" s="19">
        <f>SUBTOTAL(101,Status[Overall])</f>
        <v>1</v>
      </c>
      <c r="AR4" s="19">
        <f>SUBTOTAL(101,Status[Overall])</f>
        <v>1</v>
      </c>
      <c r="AS4" s="19">
        <f>SUBTOTAL(101,Status[Overall])</f>
        <v>1</v>
      </c>
      <c r="AT4" s="19">
        <f>SUBTOTAL(101,Status[Overall])</f>
        <v>1</v>
      </c>
      <c r="AU4" s="19">
        <f>SUBTOTAL(101,Status[Testing])</f>
        <v>1</v>
      </c>
      <c r="AV4" s="19">
        <f>SUBTOTAL(101,Status[Overall])</f>
        <v>1</v>
      </c>
    </row>
  </sheetData>
  <mergeCells count="7">
    <mergeCell ref="C1:F1"/>
    <mergeCell ref="AQ1:AV1"/>
    <mergeCell ref="W1:AB1"/>
    <mergeCell ref="O1:V1"/>
    <mergeCell ref="L1:N1"/>
    <mergeCell ref="G1:K1"/>
    <mergeCell ref="AD1:AE1"/>
  </mergeCells>
  <conditionalFormatting sqref="A3:AV3">
    <cfRule type="containsBlanks" dxfId="227" priority="2">
      <formula>LEN(TRIM(A3))=0</formula>
    </cfRule>
  </conditionalFormatting>
  <conditionalFormatting sqref="A1:B1048576">
    <cfRule type="duplicateValues" dxfId="226" priority="433"/>
  </conditionalFormatting>
  <conditionalFormatting sqref="C3:AB3">
    <cfRule type="iconSet" priority="438">
      <iconSet showValue="0">
        <cfvo type="percent" val="0"/>
        <cfvo type="num" val="1"/>
        <cfvo type="num" val="2"/>
      </iconSet>
    </cfRule>
  </conditionalFormatting>
  <dataValidations count="7">
    <dataValidation type="list" allowBlank="1" showInputMessage="1" showErrorMessage="1" sqref="C3:AB3" xr:uid="{00000000-0002-0000-0000-000000000000}">
      <formula1>"0,1,2"</formula1>
    </dataValidation>
    <dataValidation type="list" allowBlank="1" showInputMessage="1" showErrorMessage="1" sqref="AP2:AP3 AN2:AN3" xr:uid="{CC8343CC-D872-49EE-81AF-B3119A430FF3}">
      <formula1>"Yes,No"</formula1>
    </dataValidation>
    <dataValidation type="list" allowBlank="1" showInputMessage="1" showErrorMessage="1" sqref="AC3" xr:uid="{00000000-0002-0000-0000-000001000000}">
      <formula1>"Open,Closed,Deleted,Blocked,Testing,Rejected"</formula1>
    </dataValidation>
    <dataValidation type="list" allowBlank="1" showInputMessage="1" showErrorMessage="1" sqref="AF3" xr:uid="{4509F98E-E56C-47EA-9723-5603321363CC}">
      <formula1>"Foundational,Benefits,Member,Claims"</formula1>
    </dataValidation>
    <dataValidation type="list" allowBlank="1" showInputMessage="1" showErrorMessage="1" sqref="AI3" xr:uid="{F715234E-32B7-4D4B-8466-3E1C4A36CC9A}">
      <formula1>"Seed,Scrum"</formula1>
    </dataValidation>
    <dataValidation type="list" allowBlank="1" showInputMessage="1" showErrorMessage="1" sqref="AO2:AO3" xr:uid="{7142D1A0-875A-48E5-8B20-60FC9DC15AFF}">
      <formula1>"Story,Defect,Dev Task"</formula1>
    </dataValidation>
    <dataValidation type="list" allowBlank="1" showInputMessage="1" showErrorMessage="1" sqref="AD3:AE3" xr:uid="{00000000-0002-0000-0000-000002000000}">
      <formula1>"1,2,3,5,8,13"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5083-2187-4571-8607-75A752747BB9}">
  <sheetPr codeName="Sheet3"/>
  <dimension ref="A1:BO1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2" x14ac:dyDescent="0.25"/>
  <cols>
    <col min="1" max="1" width="10.6640625" style="1" bestFit="1" customWidth="1"/>
    <col min="2" max="2" width="29.5546875" style="1" bestFit="1" customWidth="1"/>
    <col min="3" max="3" width="14.6640625" style="1" bestFit="1" customWidth="1"/>
    <col min="4" max="4" width="8.88671875" style="1" bestFit="1" customWidth="1"/>
    <col min="5" max="5" width="18.21875" style="1" bestFit="1" customWidth="1"/>
    <col min="6" max="6" width="22.21875" style="1" bestFit="1" customWidth="1"/>
    <col min="7" max="7" width="12.6640625" style="1" bestFit="1" customWidth="1"/>
    <col min="8" max="8" width="24.88671875" style="1" customWidth="1"/>
    <col min="9" max="9" width="22.44140625" style="1" customWidth="1"/>
    <col min="10" max="10" width="20.77734375" style="1" customWidth="1"/>
    <col min="11" max="11" width="21.21875" style="1" customWidth="1"/>
    <col min="12" max="12" width="18.77734375" style="1" customWidth="1"/>
    <col min="13" max="13" width="17.109375" style="1" customWidth="1"/>
    <col min="14" max="14" width="20.33203125" style="1" customWidth="1"/>
    <col min="15" max="15" width="17.88671875" style="1" customWidth="1"/>
    <col min="16" max="16" width="16.21875" style="1" customWidth="1"/>
    <col min="17" max="17" width="21" style="1" customWidth="1"/>
    <col min="18" max="18" width="18.5546875" style="1" customWidth="1"/>
    <col min="19" max="19" width="16.88671875" style="1" customWidth="1"/>
    <col min="20" max="20" width="25" style="1" customWidth="1"/>
    <col min="21" max="21" width="22.5546875" style="1" customWidth="1"/>
    <col min="22" max="22" width="20.88671875" style="1" customWidth="1"/>
    <col min="23" max="23" width="29.88671875" style="1" customWidth="1"/>
    <col min="24" max="24" width="27.44140625" style="1" customWidth="1"/>
    <col min="25" max="25" width="25.77734375" style="1" customWidth="1"/>
    <col min="26" max="26" width="30" style="1" customWidth="1"/>
    <col min="27" max="27" width="27.5546875" style="1" customWidth="1"/>
    <col min="28" max="28" width="25.88671875" style="1" customWidth="1"/>
    <col min="29" max="29" width="28" style="1" customWidth="1"/>
    <col min="30" max="30" width="25.5546875" style="1" customWidth="1"/>
    <col min="31" max="31" width="23.88671875" style="1" customWidth="1"/>
    <col min="32" max="32" width="20.88671875" style="1" customWidth="1"/>
    <col min="33" max="33" width="18.44140625" style="1" customWidth="1"/>
    <col min="34" max="34" width="16.77734375" style="1" customWidth="1"/>
    <col min="35" max="35" width="28.44140625" style="1" customWidth="1"/>
    <col min="36" max="36" width="26" style="1" customWidth="1"/>
    <col min="37" max="37" width="24.33203125" style="1" customWidth="1"/>
    <col min="38" max="38" width="20.44140625" style="1" customWidth="1"/>
    <col min="39" max="39" width="18" style="1" customWidth="1"/>
    <col min="40" max="40" width="16.33203125" style="1" customWidth="1"/>
    <col min="41" max="41" width="29.109375" style="1" customWidth="1"/>
    <col min="42" max="42" width="26.6640625" style="1" customWidth="1"/>
    <col min="43" max="43" width="25" style="1" customWidth="1"/>
    <col min="44" max="44" width="20" style="1" customWidth="1"/>
    <col min="45" max="45" width="17.5546875" style="1" customWidth="1"/>
    <col min="46" max="46" width="15.88671875" style="1" customWidth="1"/>
    <col min="47" max="47" width="23" style="1" customWidth="1"/>
    <col min="48" max="48" width="20.5546875" style="1" customWidth="1"/>
    <col min="49" max="49" width="18.88671875" style="1" customWidth="1"/>
    <col min="50" max="50" width="29.5546875" style="1" customWidth="1"/>
    <col min="51" max="51" width="27.109375" style="1" customWidth="1"/>
    <col min="52" max="52" width="25.44140625" style="1" customWidth="1"/>
    <col min="53" max="53" width="35.33203125" style="1" customWidth="1"/>
    <col min="54" max="54" width="32.88671875" style="1" customWidth="1"/>
    <col min="55" max="55" width="31.21875" style="1" customWidth="1"/>
    <col min="56" max="56" width="35.109375" style="1" customWidth="1"/>
    <col min="57" max="57" width="32.6640625" style="1" customWidth="1"/>
    <col min="58" max="58" width="31" style="1" customWidth="1"/>
    <col min="59" max="59" width="29.44140625" style="1" customWidth="1"/>
    <col min="60" max="60" width="27" style="1" customWidth="1"/>
    <col min="61" max="61" width="25.33203125" style="1" customWidth="1"/>
    <col min="62" max="62" width="36.44140625" style="1" customWidth="1"/>
    <col min="63" max="63" width="34" style="1" customWidth="1"/>
    <col min="64" max="64" width="32.33203125" style="1" customWidth="1"/>
    <col min="65" max="65" width="23.109375" style="1" customWidth="1"/>
    <col min="66" max="66" width="20.6640625" style="1" customWidth="1"/>
    <col min="67" max="67" width="19" style="1" customWidth="1"/>
    <col min="68" max="16384" width="8.88671875" style="1"/>
  </cols>
  <sheetData>
    <row r="1" spans="1:67" x14ac:dyDescent="0.25">
      <c r="A1" s="14" t="s">
        <v>67</v>
      </c>
      <c r="B1" s="14" t="s">
        <v>68</v>
      </c>
      <c r="C1" s="14" t="s">
        <v>69</v>
      </c>
      <c r="D1" s="14" t="s">
        <v>6</v>
      </c>
      <c r="E1" s="14" t="s">
        <v>70</v>
      </c>
      <c r="F1" s="14" t="s">
        <v>71</v>
      </c>
      <c r="G1" s="14" t="s">
        <v>102</v>
      </c>
      <c r="H1" s="14" t="s">
        <v>103</v>
      </c>
      <c r="I1" s="14" t="s">
        <v>123</v>
      </c>
      <c r="J1" s="14" t="s">
        <v>143</v>
      </c>
      <c r="K1" s="14" t="s">
        <v>104</v>
      </c>
      <c r="L1" s="14" t="s">
        <v>124</v>
      </c>
      <c r="M1" s="14" t="s">
        <v>144</v>
      </c>
      <c r="N1" s="14" t="s">
        <v>105</v>
      </c>
      <c r="O1" s="14" t="s">
        <v>125</v>
      </c>
      <c r="P1" s="14" t="s">
        <v>145</v>
      </c>
      <c r="Q1" s="14" t="s">
        <v>106</v>
      </c>
      <c r="R1" s="14" t="s">
        <v>126</v>
      </c>
      <c r="S1" s="14" t="s">
        <v>146</v>
      </c>
      <c r="T1" s="14" t="s">
        <v>107</v>
      </c>
      <c r="U1" s="14" t="s">
        <v>127</v>
      </c>
      <c r="V1" s="14" t="s">
        <v>147</v>
      </c>
      <c r="W1" s="14" t="s">
        <v>108</v>
      </c>
      <c r="X1" s="14" t="s">
        <v>128</v>
      </c>
      <c r="Y1" s="14" t="s">
        <v>148</v>
      </c>
      <c r="Z1" s="14" t="s">
        <v>109</v>
      </c>
      <c r="AA1" s="14" t="s">
        <v>129</v>
      </c>
      <c r="AB1" s="14" t="s">
        <v>149</v>
      </c>
      <c r="AC1" s="14" t="s">
        <v>110</v>
      </c>
      <c r="AD1" s="14" t="s">
        <v>130</v>
      </c>
      <c r="AE1" s="14" t="s">
        <v>150</v>
      </c>
      <c r="AF1" s="14" t="s">
        <v>111</v>
      </c>
      <c r="AG1" s="14" t="s">
        <v>131</v>
      </c>
      <c r="AH1" s="14" t="s">
        <v>151</v>
      </c>
      <c r="AI1" s="14" t="s">
        <v>112</v>
      </c>
      <c r="AJ1" s="14" t="s">
        <v>132</v>
      </c>
      <c r="AK1" s="14" t="s">
        <v>152</v>
      </c>
      <c r="AL1" s="14" t="s">
        <v>113</v>
      </c>
      <c r="AM1" s="14" t="s">
        <v>133</v>
      </c>
      <c r="AN1" s="14" t="s">
        <v>153</v>
      </c>
      <c r="AO1" s="14" t="s">
        <v>114</v>
      </c>
      <c r="AP1" s="14" t="s">
        <v>134</v>
      </c>
      <c r="AQ1" s="14" t="s">
        <v>154</v>
      </c>
      <c r="AR1" s="14" t="s">
        <v>115</v>
      </c>
      <c r="AS1" s="14" t="s">
        <v>135</v>
      </c>
      <c r="AT1" s="14" t="s">
        <v>155</v>
      </c>
      <c r="AU1" s="14" t="s">
        <v>116</v>
      </c>
      <c r="AV1" s="14" t="s">
        <v>136</v>
      </c>
      <c r="AW1" s="14" t="s">
        <v>156</v>
      </c>
      <c r="AX1" s="14" t="s">
        <v>117</v>
      </c>
      <c r="AY1" s="14" t="s">
        <v>137</v>
      </c>
      <c r="AZ1" s="14" t="s">
        <v>157</v>
      </c>
      <c r="BA1" s="14" t="s">
        <v>118</v>
      </c>
      <c r="BB1" s="14" t="s">
        <v>138</v>
      </c>
      <c r="BC1" s="14" t="s">
        <v>158</v>
      </c>
      <c r="BD1" s="14" t="s">
        <v>119</v>
      </c>
      <c r="BE1" s="14" t="s">
        <v>139</v>
      </c>
      <c r="BF1" s="14" t="s">
        <v>159</v>
      </c>
      <c r="BG1" s="14" t="s">
        <v>120</v>
      </c>
      <c r="BH1" s="14" t="s">
        <v>140</v>
      </c>
      <c r="BI1" s="14" t="s">
        <v>160</v>
      </c>
      <c r="BJ1" s="14" t="s">
        <v>121</v>
      </c>
      <c r="BK1" s="14" t="s">
        <v>141</v>
      </c>
      <c r="BL1" s="14" t="s">
        <v>161</v>
      </c>
      <c r="BM1" s="14" t="s">
        <v>122</v>
      </c>
      <c r="BN1" s="14" t="s">
        <v>142</v>
      </c>
      <c r="BO1" s="14" t="s">
        <v>162</v>
      </c>
    </row>
    <row r="2" spans="1:67" x14ac:dyDescent="0.25">
      <c r="A2" s="1" t="s">
        <v>72</v>
      </c>
      <c r="B2" s="1" t="s">
        <v>73</v>
      </c>
      <c r="D2" s="1" t="s">
        <v>74</v>
      </c>
      <c r="E2" s="1">
        <v>1800</v>
      </c>
      <c r="F2" s="1" t="s">
        <v>75</v>
      </c>
      <c r="G2" s="1" t="str">
        <f>LEFT(B2, SEARCH(" ", B2)-1)</f>
        <v>CEAS-737</v>
      </c>
      <c r="H2" s="1">
        <f t="shared" ref="H2:H13" si="0">IF(ISNUMBER(SEARCH("-" &amp; RIGHT($B2,LEN($B2)-SEARCH(" ", $B2)), H$1)), ($E2 / 1000), 0)</f>
        <v>1.8</v>
      </c>
      <c r="I2" s="1">
        <f t="shared" ref="I2:I13" si="1">IF(ISNUMBER(SEARCH("-" &amp; RIGHT($B2,LEN($B2)-SEARCH(" ", $B2)), I$1)), ($C2 / 1000), 0)</f>
        <v>0</v>
      </c>
      <c r="J2" s="1">
        <f>H2-I2</f>
        <v>1.8</v>
      </c>
      <c r="K2" s="1">
        <f t="shared" ref="K2:K13" si="2">IF(ISNUMBER(SEARCH("-" &amp; RIGHT($B2,LEN($B2)-SEARCH(" ", $B2)), K$1)), ($E2 / 1000), 0)</f>
        <v>0</v>
      </c>
      <c r="L2" s="1">
        <f t="shared" ref="L2:L13" si="3">IF(ISNUMBER(SEARCH("-" &amp; RIGHT($B2,LEN($B2)-SEARCH(" ", $B2)), L$1)), ($C2 / 1000), 0)</f>
        <v>0</v>
      </c>
      <c r="M2" s="1">
        <f t="shared" ref="M2:M13" si="4">K2-L2</f>
        <v>0</v>
      </c>
      <c r="N2" s="1">
        <f t="shared" ref="N2:N13" si="5">IF(ISNUMBER(SEARCH("-" &amp; RIGHT($B2,LEN($B2)-SEARCH(" ", $B2)), N$1)), ($E2 / 1000), 0)</f>
        <v>0</v>
      </c>
      <c r="O2" s="1">
        <f t="shared" ref="O2:O13" si="6">IF(ISNUMBER(SEARCH("-" &amp; RIGHT($B2,LEN($B2)-SEARCH(" ", $B2)), O$1)), ($C2 / 1000), 0)</f>
        <v>0</v>
      </c>
      <c r="P2" s="1">
        <f t="shared" ref="P2:P13" si="7">N2-O2</f>
        <v>0</v>
      </c>
      <c r="Q2" s="1">
        <f t="shared" ref="Q2:Q13" si="8">IF(ISNUMBER(SEARCH("-" &amp; RIGHT($B2,LEN($B2)-SEARCH(" ", $B2)), Q$1)), ($E2 / 1000), 0)</f>
        <v>0</v>
      </c>
      <c r="R2" s="1">
        <f t="shared" ref="R2:R13" si="9">IF(ISNUMBER(SEARCH("-" &amp; RIGHT($B2,LEN($B2)-SEARCH(" ", $B2)), R$1)), ($C2 / 1000), 0)</f>
        <v>0</v>
      </c>
      <c r="S2" s="1">
        <f t="shared" ref="S2:S13" si="10">Q2-R2</f>
        <v>0</v>
      </c>
      <c r="T2" s="1">
        <f t="shared" ref="T2:T13" si="11">IF(ISNUMBER(SEARCH("-" &amp; RIGHT($B2,LEN($B2)-SEARCH(" ", $B2)), T$1)), ($E2 / 1000), 0)</f>
        <v>0</v>
      </c>
      <c r="U2" s="1">
        <f t="shared" ref="U2:U13" si="12">IF(ISNUMBER(SEARCH("-" &amp; RIGHT($B2,LEN($B2)-SEARCH(" ", $B2)), U$1)), ($C2 / 1000), 0)</f>
        <v>0</v>
      </c>
      <c r="V2" s="1">
        <f t="shared" ref="V2:V13" si="13">T2-U2</f>
        <v>0</v>
      </c>
      <c r="W2" s="1">
        <f t="shared" ref="W2:W13" si="14">IF(ISNUMBER(SEARCH("-" &amp; RIGHT($B2,LEN($B2)-SEARCH(" ", $B2)), W$1)), ($E2 / 1000), 0)</f>
        <v>0</v>
      </c>
      <c r="X2" s="1">
        <f t="shared" ref="X2:X13" si="15">IF(ISNUMBER(SEARCH("-" &amp; RIGHT($B2,LEN($B2)-SEARCH(" ", $B2)), X$1)), ($C2 / 1000), 0)</f>
        <v>0</v>
      </c>
      <c r="Y2" s="1">
        <f t="shared" ref="Y2:Y13" si="16">W2-X2</f>
        <v>0</v>
      </c>
      <c r="Z2" s="1">
        <f t="shared" ref="Z2:Z13" si="17">IF(ISNUMBER(SEARCH("-" &amp; RIGHT($B2,LEN($B2)-SEARCH(" ", $B2)), Z$1)), ($E2 / 1000), 0)</f>
        <v>0</v>
      </c>
      <c r="AA2" s="1">
        <f t="shared" ref="AA2:AA13" si="18">IF(ISNUMBER(SEARCH("-" &amp; RIGHT($B2,LEN($B2)-SEARCH(" ", $B2)), AA$1)), ($C2 / 1000), 0)</f>
        <v>0</v>
      </c>
      <c r="AB2" s="1">
        <f t="shared" ref="AB2:AB13" si="19">Z2-AA2</f>
        <v>0</v>
      </c>
      <c r="AC2" s="1">
        <f t="shared" ref="AC2:AC13" si="20">IF(ISNUMBER(SEARCH("-" &amp; RIGHT($B2,LEN($B2)-SEARCH(" ", $B2)), AC$1)), ($E2 / 1000), 0)</f>
        <v>0</v>
      </c>
      <c r="AD2" s="1">
        <f t="shared" ref="AD2:AD13" si="21">IF(ISNUMBER(SEARCH("-" &amp; RIGHT($B2,LEN($B2)-SEARCH(" ", $B2)), AD$1)), ($C2 / 1000), 0)</f>
        <v>0</v>
      </c>
      <c r="AE2" s="1">
        <f t="shared" ref="AE2:AE13" si="22">AC2-AD2</f>
        <v>0</v>
      </c>
      <c r="AF2" s="1">
        <f t="shared" ref="AF2:AF13" si="23">IF(ISNUMBER(SEARCH("-" &amp; RIGHT($B2,LEN($B2)-SEARCH(" ", $B2)), AF$1)), ($E2 / 1000), 0)</f>
        <v>0</v>
      </c>
      <c r="AG2" s="1">
        <f t="shared" ref="AG2:AG13" si="24">IF(ISNUMBER(SEARCH("-" &amp; RIGHT($B2,LEN($B2)-SEARCH(" ", $B2)), AG$1)), ($C2 / 1000), 0)</f>
        <v>0</v>
      </c>
      <c r="AH2" s="1">
        <f t="shared" ref="AH2:AH13" si="25">AF2-AG2</f>
        <v>0</v>
      </c>
      <c r="AI2" s="1">
        <f t="shared" ref="AI2:AI13" si="26">IF(ISNUMBER(SEARCH("-" &amp; RIGHT($B2,LEN($B2)-SEARCH(" ", $B2)), AI$1)), ($E2 / 1000), 0)</f>
        <v>0</v>
      </c>
      <c r="AJ2" s="1">
        <f t="shared" ref="AJ2:AJ13" si="27">IF(ISNUMBER(SEARCH("-" &amp; RIGHT($B2,LEN($B2)-SEARCH(" ", $B2)), AJ$1)), ($C2 / 1000), 0)</f>
        <v>0</v>
      </c>
      <c r="AK2" s="1">
        <f t="shared" ref="AK2:AK13" si="28">AI2-AJ2</f>
        <v>0</v>
      </c>
      <c r="AL2" s="1">
        <f t="shared" ref="AL2:AL13" si="29">IF(ISNUMBER(SEARCH("-" &amp; RIGHT($B2,LEN($B2)-SEARCH(" ", $B2)), AL$1)), ($E2 / 1000), 0)</f>
        <v>0</v>
      </c>
      <c r="AM2" s="1">
        <f t="shared" ref="AM2:AM13" si="30">IF(ISNUMBER(SEARCH("-" &amp; RIGHT($B2,LEN($B2)-SEARCH(" ", $B2)), AM$1)), ($C2 / 1000), 0)</f>
        <v>0</v>
      </c>
      <c r="AN2" s="1">
        <f t="shared" ref="AN2:AN13" si="31">AL2-AM2</f>
        <v>0</v>
      </c>
      <c r="AO2" s="1">
        <f t="shared" ref="AO2:AO13" si="32">IF(ISNUMBER(SEARCH("-" &amp; RIGHT($B2,LEN($B2)-SEARCH(" ", $B2)), AO$1)), ($E2 / 1000), 0)</f>
        <v>0</v>
      </c>
      <c r="AP2" s="1">
        <f t="shared" ref="AP2:AP13" si="33">IF(ISNUMBER(SEARCH("-" &amp; RIGHT($B2,LEN($B2)-SEARCH(" ", $B2)), AP$1)), ($C2 / 1000), 0)</f>
        <v>0</v>
      </c>
      <c r="AQ2" s="1">
        <f t="shared" ref="AQ2:AQ13" si="34">AO2-AP2</f>
        <v>0</v>
      </c>
      <c r="AR2" s="1">
        <f t="shared" ref="AR2:AR13" si="35">IF(ISNUMBER(SEARCH("-" &amp; RIGHT($B2,LEN($B2)-SEARCH(" ", $B2)), AR$1)), ($E2 / 1000), 0)</f>
        <v>0</v>
      </c>
      <c r="AS2" s="1">
        <f t="shared" ref="AS2:AS13" si="36">IF(ISNUMBER(SEARCH("-" &amp; RIGHT($B2,LEN($B2)-SEARCH(" ", $B2)), AS$1)), ($C2 / 1000), 0)</f>
        <v>0</v>
      </c>
      <c r="AT2" s="1">
        <f t="shared" ref="AT2:AT13" si="37">AR2-AS2</f>
        <v>0</v>
      </c>
      <c r="AU2" s="1">
        <f t="shared" ref="AU2:AU13" si="38">IF(ISNUMBER(SEARCH("-" &amp; RIGHT($B2,LEN($B2)-SEARCH(" ", $B2)), AU$1)), ($E2 / 1000), 0)</f>
        <v>0</v>
      </c>
      <c r="AV2" s="1">
        <f t="shared" ref="AV2:AV13" si="39">IF(ISNUMBER(SEARCH("-" &amp; RIGHT($B2,LEN($B2)-SEARCH(" ", $B2)), AV$1)), ($C2 / 1000), 0)</f>
        <v>0</v>
      </c>
      <c r="AW2" s="1">
        <f t="shared" ref="AW2:AW13" si="40">AU2-AV2</f>
        <v>0</v>
      </c>
      <c r="AX2" s="1">
        <f t="shared" ref="AX2:AX13" si="41">IF(ISNUMBER(SEARCH("-" &amp; RIGHT($B2,LEN($B2)-SEARCH(" ", $B2)), AX$1)), ($E2 / 1000), 0)</f>
        <v>0</v>
      </c>
      <c r="AY2" s="1">
        <f t="shared" ref="AY2:AY13" si="42">IF(ISNUMBER(SEARCH("-" &amp; RIGHT($B2,LEN($B2)-SEARCH(" ", $B2)), AY$1)), ($C2 / 1000), 0)</f>
        <v>0</v>
      </c>
      <c r="AZ2" s="1">
        <f t="shared" ref="AZ2:AZ13" si="43">AX2-AY2</f>
        <v>0</v>
      </c>
      <c r="BA2" s="1">
        <f t="shared" ref="BA2:BA13" si="44">IF(ISNUMBER(SEARCH("-" &amp; RIGHT($B2,LEN($B2)-SEARCH(" ", $B2)), BA$1)), ($E2 / 1000), 0)</f>
        <v>0</v>
      </c>
      <c r="BB2" s="1">
        <f t="shared" ref="BB2:BB13" si="45">IF(ISNUMBER(SEARCH("-" &amp; RIGHT($B2,LEN($B2)-SEARCH(" ", $B2)), BB$1)), ($C2 / 1000), 0)</f>
        <v>0</v>
      </c>
      <c r="BC2" s="1">
        <f t="shared" ref="BC2:BC13" si="46">BA2-BB2</f>
        <v>0</v>
      </c>
      <c r="BD2" s="1">
        <f t="shared" ref="BD2:BD13" si="47">IF(ISNUMBER(SEARCH("-" &amp; RIGHT($B2,LEN($B2)-SEARCH(" ", $B2)), BD$1)), ($E2 / 1000), 0)</f>
        <v>0</v>
      </c>
      <c r="BE2" s="1">
        <f t="shared" ref="BE2:BE13" si="48">IF(ISNUMBER(SEARCH("-" &amp; RIGHT($B2,LEN($B2)-SEARCH(" ", $B2)), BE$1)), ($C2 / 1000), 0)</f>
        <v>0</v>
      </c>
      <c r="BF2" s="1">
        <f t="shared" ref="BF2:BF13" si="49">BD2-BE2</f>
        <v>0</v>
      </c>
      <c r="BG2" s="1">
        <f t="shared" ref="BG2:BG13" si="50">IF(ISNUMBER(SEARCH("-" &amp; RIGHT($B2,LEN($B2)-SEARCH(" ", $B2)), BG$1)), ($E2 / 1000), 0)</f>
        <v>0</v>
      </c>
      <c r="BH2" s="1">
        <f t="shared" ref="BH2:BH13" si="51">IF(ISNUMBER(SEARCH("-" &amp; RIGHT($B2,LEN($B2)-SEARCH(" ", $B2)), BH$1)), ($C2 / 1000), 0)</f>
        <v>0</v>
      </c>
      <c r="BI2" s="1">
        <f t="shared" ref="BI2:BI13" si="52">BG2-BH2</f>
        <v>0</v>
      </c>
      <c r="BJ2" s="1">
        <f t="shared" ref="BJ2:BJ13" si="53">IF(ISNUMBER(SEARCH("-" &amp; RIGHT($B2,LEN($B2)-SEARCH(" ", $B2)), BJ$1)), ($E2 / 1000), 0)</f>
        <v>0</v>
      </c>
      <c r="BK2" s="1">
        <f t="shared" ref="BK2:BK13" si="54">IF(ISNUMBER(SEARCH("-" &amp; RIGHT($B2,LEN($B2)-SEARCH(" ", $B2)), BK$1)), ($C2 / 1000), 0)</f>
        <v>0</v>
      </c>
      <c r="BL2" s="1">
        <f t="shared" ref="BL2:BL13" si="55">BJ2-BK2</f>
        <v>0</v>
      </c>
      <c r="BM2" s="1">
        <f t="shared" ref="BM2:BM13" si="56">IF(ISNUMBER(SEARCH("-" &amp; RIGHT($B2,LEN($B2)-SEARCH(" ", $B2)), BM$1)), ($E2 / 1000), 0)</f>
        <v>0</v>
      </c>
      <c r="BN2" s="1">
        <f t="shared" ref="BN2:BN13" si="57">IF(ISNUMBER(SEARCH("-" &amp; RIGHT($B2,LEN($B2)-SEARCH(" ", $B2)), BN$1)), ($C2 / 1000), 0)</f>
        <v>0</v>
      </c>
      <c r="BO2" s="1">
        <f t="shared" ref="BO2:BO13" si="58">BM2-BN2</f>
        <v>0</v>
      </c>
    </row>
    <row r="3" spans="1:67" x14ac:dyDescent="0.25">
      <c r="A3" s="1" t="s">
        <v>76</v>
      </c>
      <c r="B3" s="1" t="s">
        <v>77</v>
      </c>
      <c r="D3" s="1" t="s">
        <v>74</v>
      </c>
      <c r="E3" s="1">
        <v>3600</v>
      </c>
      <c r="F3" s="1" t="s">
        <v>75</v>
      </c>
      <c r="G3" s="1" t="str">
        <f t="shared" ref="G3:G13" si="59">LEFT(B3, SEARCH(" ", B3)-1)</f>
        <v>CEAS-2212</v>
      </c>
      <c r="H3" s="1">
        <f t="shared" si="0"/>
        <v>3.6</v>
      </c>
      <c r="I3" s="1">
        <f t="shared" si="1"/>
        <v>0</v>
      </c>
      <c r="J3" s="1">
        <f t="shared" ref="J3:J13" si="60">H3-I3</f>
        <v>3.6</v>
      </c>
      <c r="K3" s="1">
        <f t="shared" si="2"/>
        <v>0</v>
      </c>
      <c r="L3" s="1">
        <f t="shared" si="3"/>
        <v>0</v>
      </c>
      <c r="M3" s="1">
        <f t="shared" si="4"/>
        <v>0</v>
      </c>
      <c r="N3" s="1">
        <f t="shared" si="5"/>
        <v>0</v>
      </c>
      <c r="O3" s="1">
        <f t="shared" si="6"/>
        <v>0</v>
      </c>
      <c r="P3" s="1">
        <f t="shared" si="7"/>
        <v>0</v>
      </c>
      <c r="Q3" s="1">
        <f t="shared" si="8"/>
        <v>0</v>
      </c>
      <c r="R3" s="1">
        <f t="shared" si="9"/>
        <v>0</v>
      </c>
      <c r="S3" s="1">
        <f t="shared" si="10"/>
        <v>0</v>
      </c>
      <c r="T3" s="1">
        <f t="shared" si="11"/>
        <v>0</v>
      </c>
      <c r="U3" s="1">
        <f t="shared" si="12"/>
        <v>0</v>
      </c>
      <c r="V3" s="1">
        <f t="shared" si="13"/>
        <v>0</v>
      </c>
      <c r="W3" s="1">
        <f t="shared" si="14"/>
        <v>0</v>
      </c>
      <c r="X3" s="1">
        <f t="shared" si="15"/>
        <v>0</v>
      </c>
      <c r="Y3" s="1">
        <f t="shared" si="16"/>
        <v>0</v>
      </c>
      <c r="Z3" s="1">
        <f t="shared" si="17"/>
        <v>0</v>
      </c>
      <c r="AA3" s="1">
        <f t="shared" si="18"/>
        <v>0</v>
      </c>
      <c r="AB3" s="1">
        <f t="shared" si="19"/>
        <v>0</v>
      </c>
      <c r="AC3" s="1">
        <f t="shared" si="20"/>
        <v>0</v>
      </c>
      <c r="AD3" s="1">
        <f t="shared" si="21"/>
        <v>0</v>
      </c>
      <c r="AE3" s="1">
        <f t="shared" si="22"/>
        <v>0</v>
      </c>
      <c r="AF3" s="1">
        <f t="shared" si="23"/>
        <v>0</v>
      </c>
      <c r="AG3" s="1">
        <f t="shared" si="24"/>
        <v>0</v>
      </c>
      <c r="AH3" s="1">
        <f t="shared" si="25"/>
        <v>0</v>
      </c>
      <c r="AI3" s="1">
        <f t="shared" si="26"/>
        <v>0</v>
      </c>
      <c r="AJ3" s="1">
        <f t="shared" si="27"/>
        <v>0</v>
      </c>
      <c r="AK3" s="1">
        <f t="shared" si="28"/>
        <v>0</v>
      </c>
      <c r="AL3" s="1">
        <f t="shared" si="29"/>
        <v>0</v>
      </c>
      <c r="AM3" s="1">
        <f t="shared" si="30"/>
        <v>0</v>
      </c>
      <c r="AN3" s="1">
        <f t="shared" si="31"/>
        <v>0</v>
      </c>
      <c r="AO3" s="1">
        <f t="shared" si="32"/>
        <v>0</v>
      </c>
      <c r="AP3" s="1">
        <f t="shared" si="33"/>
        <v>0</v>
      </c>
      <c r="AQ3" s="1">
        <f t="shared" si="34"/>
        <v>0</v>
      </c>
      <c r="AR3" s="1">
        <f t="shared" si="35"/>
        <v>0</v>
      </c>
      <c r="AS3" s="1">
        <f t="shared" si="36"/>
        <v>0</v>
      </c>
      <c r="AT3" s="1">
        <f t="shared" si="37"/>
        <v>0</v>
      </c>
      <c r="AU3" s="1">
        <f t="shared" si="38"/>
        <v>0</v>
      </c>
      <c r="AV3" s="1">
        <f t="shared" si="39"/>
        <v>0</v>
      </c>
      <c r="AW3" s="1">
        <f t="shared" si="40"/>
        <v>0</v>
      </c>
      <c r="AX3" s="1">
        <f t="shared" si="41"/>
        <v>0</v>
      </c>
      <c r="AY3" s="1">
        <f t="shared" si="42"/>
        <v>0</v>
      </c>
      <c r="AZ3" s="1">
        <f t="shared" si="43"/>
        <v>0</v>
      </c>
      <c r="BA3" s="1">
        <f t="shared" si="44"/>
        <v>0</v>
      </c>
      <c r="BB3" s="1">
        <f t="shared" si="45"/>
        <v>0</v>
      </c>
      <c r="BC3" s="1">
        <f t="shared" si="46"/>
        <v>0</v>
      </c>
      <c r="BD3" s="1">
        <f t="shared" si="47"/>
        <v>0</v>
      </c>
      <c r="BE3" s="1">
        <f t="shared" si="48"/>
        <v>0</v>
      </c>
      <c r="BF3" s="1">
        <f t="shared" si="49"/>
        <v>0</v>
      </c>
      <c r="BG3" s="1">
        <f t="shared" si="50"/>
        <v>0</v>
      </c>
      <c r="BH3" s="1">
        <f t="shared" si="51"/>
        <v>0</v>
      </c>
      <c r="BI3" s="1">
        <f t="shared" si="52"/>
        <v>0</v>
      </c>
      <c r="BJ3" s="1">
        <f t="shared" si="53"/>
        <v>0</v>
      </c>
      <c r="BK3" s="1">
        <f t="shared" si="54"/>
        <v>0</v>
      </c>
      <c r="BL3" s="1">
        <f t="shared" si="55"/>
        <v>0</v>
      </c>
      <c r="BM3" s="1">
        <f t="shared" si="56"/>
        <v>0</v>
      </c>
      <c r="BN3" s="1">
        <f t="shared" si="57"/>
        <v>0</v>
      </c>
      <c r="BO3" s="1">
        <f t="shared" si="58"/>
        <v>0</v>
      </c>
    </row>
    <row r="4" spans="1:67" x14ac:dyDescent="0.25">
      <c r="A4" s="1" t="s">
        <v>78</v>
      </c>
      <c r="B4" s="1" t="s">
        <v>79</v>
      </c>
      <c r="D4" s="1" t="s">
        <v>74</v>
      </c>
      <c r="E4" s="1">
        <v>0</v>
      </c>
      <c r="F4" s="1" t="s">
        <v>80</v>
      </c>
      <c r="G4" s="1" t="str">
        <f t="shared" si="59"/>
        <v>CEAS-2212</v>
      </c>
      <c r="H4" s="1">
        <f t="shared" si="0"/>
        <v>0</v>
      </c>
      <c r="I4" s="1">
        <f t="shared" si="1"/>
        <v>0</v>
      </c>
      <c r="J4" s="1">
        <f t="shared" si="60"/>
        <v>0</v>
      </c>
      <c r="K4" s="1">
        <f t="shared" si="2"/>
        <v>0</v>
      </c>
      <c r="L4" s="1">
        <f t="shared" si="3"/>
        <v>0</v>
      </c>
      <c r="M4" s="1">
        <f t="shared" si="4"/>
        <v>0</v>
      </c>
      <c r="N4" s="1">
        <f t="shared" si="5"/>
        <v>0</v>
      </c>
      <c r="O4" s="1">
        <f t="shared" si="6"/>
        <v>0</v>
      </c>
      <c r="P4" s="1">
        <f t="shared" si="7"/>
        <v>0</v>
      </c>
      <c r="Q4" s="1">
        <f t="shared" si="8"/>
        <v>0</v>
      </c>
      <c r="R4" s="1">
        <f t="shared" si="9"/>
        <v>0</v>
      </c>
      <c r="S4" s="1">
        <f t="shared" si="10"/>
        <v>0</v>
      </c>
      <c r="T4" s="1">
        <f t="shared" si="11"/>
        <v>0</v>
      </c>
      <c r="U4" s="1">
        <f t="shared" si="12"/>
        <v>0</v>
      </c>
      <c r="V4" s="1">
        <f t="shared" si="13"/>
        <v>0</v>
      </c>
      <c r="W4" s="1">
        <f t="shared" si="14"/>
        <v>0</v>
      </c>
      <c r="X4" s="1">
        <f t="shared" si="15"/>
        <v>0</v>
      </c>
      <c r="Y4" s="1">
        <f t="shared" si="16"/>
        <v>0</v>
      </c>
      <c r="Z4" s="1">
        <f t="shared" si="17"/>
        <v>0</v>
      </c>
      <c r="AA4" s="1">
        <f t="shared" si="18"/>
        <v>0</v>
      </c>
      <c r="AB4" s="1">
        <f t="shared" si="19"/>
        <v>0</v>
      </c>
      <c r="AC4" s="1">
        <f t="shared" si="20"/>
        <v>0</v>
      </c>
      <c r="AD4" s="1">
        <f t="shared" si="21"/>
        <v>0</v>
      </c>
      <c r="AE4" s="1">
        <f t="shared" si="22"/>
        <v>0</v>
      </c>
      <c r="AF4" s="1">
        <f t="shared" si="23"/>
        <v>0</v>
      </c>
      <c r="AG4" s="1">
        <f t="shared" si="24"/>
        <v>0</v>
      </c>
      <c r="AH4" s="1">
        <f t="shared" si="25"/>
        <v>0</v>
      </c>
      <c r="AI4" s="1">
        <f t="shared" si="26"/>
        <v>0</v>
      </c>
      <c r="AJ4" s="1">
        <f t="shared" si="27"/>
        <v>0</v>
      </c>
      <c r="AK4" s="1">
        <f t="shared" si="28"/>
        <v>0</v>
      </c>
      <c r="AL4" s="1">
        <f t="shared" si="29"/>
        <v>0</v>
      </c>
      <c r="AM4" s="1">
        <f t="shared" si="30"/>
        <v>0</v>
      </c>
      <c r="AN4" s="1">
        <f t="shared" si="31"/>
        <v>0</v>
      </c>
      <c r="AO4" s="1">
        <f t="shared" si="32"/>
        <v>0</v>
      </c>
      <c r="AP4" s="1">
        <f t="shared" si="33"/>
        <v>0</v>
      </c>
      <c r="AQ4" s="1">
        <f t="shared" si="34"/>
        <v>0</v>
      </c>
      <c r="AR4" s="1">
        <f t="shared" si="35"/>
        <v>0</v>
      </c>
      <c r="AS4" s="1">
        <f t="shared" si="36"/>
        <v>0</v>
      </c>
      <c r="AT4" s="1">
        <f t="shared" si="37"/>
        <v>0</v>
      </c>
      <c r="AU4" s="1">
        <f t="shared" si="38"/>
        <v>0</v>
      </c>
      <c r="AV4" s="1">
        <f t="shared" si="39"/>
        <v>0</v>
      </c>
      <c r="AW4" s="1">
        <f t="shared" si="40"/>
        <v>0</v>
      </c>
      <c r="AX4" s="1">
        <f t="shared" si="41"/>
        <v>0</v>
      </c>
      <c r="AY4" s="1">
        <f t="shared" si="42"/>
        <v>0</v>
      </c>
      <c r="AZ4" s="1">
        <f t="shared" si="43"/>
        <v>0</v>
      </c>
      <c r="BA4" s="1">
        <f t="shared" si="44"/>
        <v>0</v>
      </c>
      <c r="BB4" s="1">
        <f t="shared" si="45"/>
        <v>0</v>
      </c>
      <c r="BC4" s="1">
        <f t="shared" si="46"/>
        <v>0</v>
      </c>
      <c r="BD4" s="1">
        <f t="shared" si="47"/>
        <v>0</v>
      </c>
      <c r="BE4" s="1">
        <f t="shared" si="48"/>
        <v>0</v>
      </c>
      <c r="BF4" s="1">
        <f t="shared" si="49"/>
        <v>0</v>
      </c>
      <c r="BG4" s="1">
        <f t="shared" si="50"/>
        <v>0</v>
      </c>
      <c r="BH4" s="1">
        <f t="shared" si="51"/>
        <v>0</v>
      </c>
      <c r="BI4" s="1">
        <f t="shared" si="52"/>
        <v>0</v>
      </c>
      <c r="BJ4" s="1">
        <f t="shared" si="53"/>
        <v>0</v>
      </c>
      <c r="BK4" s="1">
        <f t="shared" si="54"/>
        <v>0</v>
      </c>
      <c r="BL4" s="1">
        <f t="shared" si="55"/>
        <v>0</v>
      </c>
      <c r="BM4" s="1">
        <f t="shared" si="56"/>
        <v>0</v>
      </c>
      <c r="BN4" s="1">
        <f t="shared" si="57"/>
        <v>0</v>
      </c>
      <c r="BO4" s="1">
        <f t="shared" si="58"/>
        <v>0</v>
      </c>
    </row>
    <row r="5" spans="1:67" x14ac:dyDescent="0.25">
      <c r="A5" s="1" t="s">
        <v>81</v>
      </c>
      <c r="B5" s="1" t="s">
        <v>82</v>
      </c>
      <c r="C5" s="1">
        <v>1800</v>
      </c>
      <c r="D5" s="1" t="s">
        <v>74</v>
      </c>
      <c r="E5" s="1">
        <v>1800</v>
      </c>
      <c r="F5" s="1" t="s">
        <v>83</v>
      </c>
      <c r="G5" s="1" t="str">
        <f t="shared" si="59"/>
        <v>CEAS-421</v>
      </c>
      <c r="H5" s="1">
        <f t="shared" si="0"/>
        <v>0</v>
      </c>
      <c r="I5" s="1">
        <f t="shared" si="1"/>
        <v>0</v>
      </c>
      <c r="J5" s="1">
        <f t="shared" si="60"/>
        <v>0</v>
      </c>
      <c r="K5" s="1">
        <f t="shared" si="2"/>
        <v>0</v>
      </c>
      <c r="L5" s="1">
        <f t="shared" si="3"/>
        <v>0</v>
      </c>
      <c r="M5" s="1">
        <f t="shared" si="4"/>
        <v>0</v>
      </c>
      <c r="N5" s="1">
        <f t="shared" si="5"/>
        <v>0</v>
      </c>
      <c r="O5" s="1">
        <f t="shared" si="6"/>
        <v>0</v>
      </c>
      <c r="P5" s="1">
        <f t="shared" si="7"/>
        <v>0</v>
      </c>
      <c r="Q5" s="1">
        <f t="shared" si="8"/>
        <v>0</v>
      </c>
      <c r="R5" s="1">
        <f t="shared" si="9"/>
        <v>0</v>
      </c>
      <c r="S5" s="1">
        <f t="shared" si="10"/>
        <v>0</v>
      </c>
      <c r="T5" s="1">
        <f t="shared" si="11"/>
        <v>0</v>
      </c>
      <c r="U5" s="1">
        <f t="shared" si="12"/>
        <v>0</v>
      </c>
      <c r="V5" s="1">
        <f t="shared" si="13"/>
        <v>0</v>
      </c>
      <c r="W5" s="1">
        <f t="shared" si="14"/>
        <v>0</v>
      </c>
      <c r="X5" s="1">
        <f t="shared" si="15"/>
        <v>0</v>
      </c>
      <c r="Y5" s="1">
        <f t="shared" si="16"/>
        <v>0</v>
      </c>
      <c r="Z5" s="1">
        <f t="shared" si="17"/>
        <v>0</v>
      </c>
      <c r="AA5" s="1">
        <f t="shared" si="18"/>
        <v>0</v>
      </c>
      <c r="AB5" s="1">
        <f t="shared" si="19"/>
        <v>0</v>
      </c>
      <c r="AC5" s="1">
        <f t="shared" si="20"/>
        <v>0</v>
      </c>
      <c r="AD5" s="1">
        <f t="shared" si="21"/>
        <v>0</v>
      </c>
      <c r="AE5" s="1">
        <f t="shared" si="22"/>
        <v>0</v>
      </c>
      <c r="AF5" s="1">
        <f t="shared" si="23"/>
        <v>0</v>
      </c>
      <c r="AG5" s="1">
        <f t="shared" si="24"/>
        <v>0</v>
      </c>
      <c r="AH5" s="1">
        <f t="shared" si="25"/>
        <v>0</v>
      </c>
      <c r="AI5" s="1">
        <f t="shared" si="26"/>
        <v>0</v>
      </c>
      <c r="AJ5" s="1">
        <f t="shared" si="27"/>
        <v>0</v>
      </c>
      <c r="AK5" s="1">
        <f t="shared" si="28"/>
        <v>0</v>
      </c>
      <c r="AL5" s="1">
        <f t="shared" si="29"/>
        <v>0</v>
      </c>
      <c r="AM5" s="1">
        <f t="shared" si="30"/>
        <v>0</v>
      </c>
      <c r="AN5" s="1">
        <f t="shared" si="31"/>
        <v>0</v>
      </c>
      <c r="AO5" s="1">
        <f t="shared" si="32"/>
        <v>0</v>
      </c>
      <c r="AP5" s="1">
        <f t="shared" si="33"/>
        <v>0</v>
      </c>
      <c r="AQ5" s="1">
        <f t="shared" si="34"/>
        <v>0</v>
      </c>
      <c r="AR5" s="1">
        <f t="shared" si="35"/>
        <v>0</v>
      </c>
      <c r="AS5" s="1">
        <f t="shared" si="36"/>
        <v>0</v>
      </c>
      <c r="AT5" s="1">
        <f t="shared" si="37"/>
        <v>0</v>
      </c>
      <c r="AU5" s="1">
        <f t="shared" si="38"/>
        <v>1.8</v>
      </c>
      <c r="AV5" s="1">
        <f t="shared" si="39"/>
        <v>1.8</v>
      </c>
      <c r="AW5" s="1">
        <f t="shared" si="40"/>
        <v>0</v>
      </c>
      <c r="AX5" s="1">
        <f t="shared" si="41"/>
        <v>0</v>
      </c>
      <c r="AY5" s="1">
        <f t="shared" si="42"/>
        <v>0</v>
      </c>
      <c r="AZ5" s="1">
        <f t="shared" si="43"/>
        <v>0</v>
      </c>
      <c r="BA5" s="1">
        <f t="shared" si="44"/>
        <v>0</v>
      </c>
      <c r="BB5" s="1">
        <f t="shared" si="45"/>
        <v>0</v>
      </c>
      <c r="BC5" s="1">
        <f t="shared" si="46"/>
        <v>0</v>
      </c>
      <c r="BD5" s="1">
        <f t="shared" si="47"/>
        <v>0</v>
      </c>
      <c r="BE5" s="1">
        <f t="shared" si="48"/>
        <v>0</v>
      </c>
      <c r="BF5" s="1">
        <f t="shared" si="49"/>
        <v>0</v>
      </c>
      <c r="BG5" s="1">
        <f t="shared" si="50"/>
        <v>0</v>
      </c>
      <c r="BH5" s="1">
        <f t="shared" si="51"/>
        <v>0</v>
      </c>
      <c r="BI5" s="1">
        <f t="shared" si="52"/>
        <v>0</v>
      </c>
      <c r="BJ5" s="1">
        <f t="shared" si="53"/>
        <v>0</v>
      </c>
      <c r="BK5" s="1">
        <f t="shared" si="54"/>
        <v>0</v>
      </c>
      <c r="BL5" s="1">
        <f t="shared" si="55"/>
        <v>0</v>
      </c>
      <c r="BM5" s="1">
        <f t="shared" si="56"/>
        <v>0</v>
      </c>
      <c r="BN5" s="1">
        <f t="shared" si="57"/>
        <v>0</v>
      </c>
      <c r="BO5" s="1">
        <f t="shared" si="58"/>
        <v>0</v>
      </c>
    </row>
    <row r="6" spans="1:67" x14ac:dyDescent="0.25">
      <c r="A6" s="1" t="s">
        <v>84</v>
      </c>
      <c r="B6" s="1" t="s">
        <v>85</v>
      </c>
      <c r="C6" s="1">
        <v>1800</v>
      </c>
      <c r="D6" s="1" t="s">
        <v>74</v>
      </c>
      <c r="E6" s="1">
        <v>1800</v>
      </c>
      <c r="F6" s="1" t="s">
        <v>83</v>
      </c>
      <c r="G6" s="1" t="str">
        <f t="shared" si="59"/>
        <v>CEAS-421</v>
      </c>
      <c r="H6" s="1">
        <f t="shared" si="0"/>
        <v>0</v>
      </c>
      <c r="I6" s="1">
        <f t="shared" si="1"/>
        <v>0</v>
      </c>
      <c r="J6" s="1">
        <f t="shared" si="60"/>
        <v>0</v>
      </c>
      <c r="K6" s="1">
        <f t="shared" si="2"/>
        <v>0</v>
      </c>
      <c r="L6" s="1">
        <f t="shared" si="3"/>
        <v>0</v>
      </c>
      <c r="M6" s="1">
        <f t="shared" si="4"/>
        <v>0</v>
      </c>
      <c r="N6" s="1">
        <f t="shared" si="5"/>
        <v>0</v>
      </c>
      <c r="O6" s="1">
        <f t="shared" si="6"/>
        <v>0</v>
      </c>
      <c r="P6" s="1">
        <f t="shared" si="7"/>
        <v>0</v>
      </c>
      <c r="Q6" s="1">
        <f t="shared" si="8"/>
        <v>0</v>
      </c>
      <c r="R6" s="1">
        <f t="shared" si="9"/>
        <v>0</v>
      </c>
      <c r="S6" s="1">
        <f t="shared" si="10"/>
        <v>0</v>
      </c>
      <c r="T6" s="1">
        <f t="shared" si="11"/>
        <v>0</v>
      </c>
      <c r="U6" s="1">
        <f t="shared" si="12"/>
        <v>0</v>
      </c>
      <c r="V6" s="1">
        <f t="shared" si="13"/>
        <v>0</v>
      </c>
      <c r="W6" s="1">
        <f t="shared" si="14"/>
        <v>0</v>
      </c>
      <c r="X6" s="1">
        <f t="shared" si="15"/>
        <v>0</v>
      </c>
      <c r="Y6" s="1">
        <f t="shared" si="16"/>
        <v>0</v>
      </c>
      <c r="Z6" s="1">
        <f t="shared" si="17"/>
        <v>0</v>
      </c>
      <c r="AA6" s="1">
        <f t="shared" si="18"/>
        <v>0</v>
      </c>
      <c r="AB6" s="1">
        <f t="shared" si="19"/>
        <v>0</v>
      </c>
      <c r="AC6" s="1">
        <f t="shared" si="20"/>
        <v>0</v>
      </c>
      <c r="AD6" s="1">
        <f t="shared" si="21"/>
        <v>0</v>
      </c>
      <c r="AE6" s="1">
        <f t="shared" si="22"/>
        <v>0</v>
      </c>
      <c r="AF6" s="1">
        <f t="shared" si="23"/>
        <v>0</v>
      </c>
      <c r="AG6" s="1">
        <f t="shared" si="24"/>
        <v>0</v>
      </c>
      <c r="AH6" s="1">
        <f t="shared" si="25"/>
        <v>0</v>
      </c>
      <c r="AI6" s="1">
        <f t="shared" si="26"/>
        <v>0</v>
      </c>
      <c r="AJ6" s="1">
        <f t="shared" si="27"/>
        <v>0</v>
      </c>
      <c r="AK6" s="1">
        <f t="shared" si="28"/>
        <v>0</v>
      </c>
      <c r="AL6" s="1">
        <f t="shared" si="29"/>
        <v>0</v>
      </c>
      <c r="AM6" s="1">
        <f t="shared" si="30"/>
        <v>0</v>
      </c>
      <c r="AN6" s="1">
        <f t="shared" si="31"/>
        <v>0</v>
      </c>
      <c r="AO6" s="1">
        <f t="shared" si="32"/>
        <v>0</v>
      </c>
      <c r="AP6" s="1">
        <f t="shared" si="33"/>
        <v>0</v>
      </c>
      <c r="AQ6" s="1">
        <f t="shared" si="34"/>
        <v>0</v>
      </c>
      <c r="AR6" s="1">
        <f t="shared" si="35"/>
        <v>1.8</v>
      </c>
      <c r="AS6" s="1">
        <f t="shared" si="36"/>
        <v>1.8</v>
      </c>
      <c r="AT6" s="1">
        <f t="shared" si="37"/>
        <v>0</v>
      </c>
      <c r="AU6" s="1">
        <f t="shared" si="38"/>
        <v>0</v>
      </c>
      <c r="AV6" s="1">
        <f t="shared" si="39"/>
        <v>0</v>
      </c>
      <c r="AW6" s="1">
        <f t="shared" si="40"/>
        <v>0</v>
      </c>
      <c r="AX6" s="1">
        <f t="shared" si="41"/>
        <v>0</v>
      </c>
      <c r="AY6" s="1">
        <f t="shared" si="42"/>
        <v>0</v>
      </c>
      <c r="AZ6" s="1">
        <f t="shared" si="43"/>
        <v>0</v>
      </c>
      <c r="BA6" s="1">
        <f t="shared" si="44"/>
        <v>0</v>
      </c>
      <c r="BB6" s="1">
        <f t="shared" si="45"/>
        <v>0</v>
      </c>
      <c r="BC6" s="1">
        <f t="shared" si="46"/>
        <v>0</v>
      </c>
      <c r="BD6" s="1">
        <f t="shared" si="47"/>
        <v>0</v>
      </c>
      <c r="BE6" s="1">
        <f t="shared" si="48"/>
        <v>0</v>
      </c>
      <c r="BF6" s="1">
        <f t="shared" si="49"/>
        <v>0</v>
      </c>
      <c r="BG6" s="1">
        <f t="shared" si="50"/>
        <v>0</v>
      </c>
      <c r="BH6" s="1">
        <f t="shared" si="51"/>
        <v>0</v>
      </c>
      <c r="BI6" s="1">
        <f t="shared" si="52"/>
        <v>0</v>
      </c>
      <c r="BJ6" s="1">
        <f t="shared" si="53"/>
        <v>0</v>
      </c>
      <c r="BK6" s="1">
        <f t="shared" si="54"/>
        <v>0</v>
      </c>
      <c r="BL6" s="1">
        <f t="shared" si="55"/>
        <v>0</v>
      </c>
      <c r="BM6" s="1">
        <f t="shared" si="56"/>
        <v>0</v>
      </c>
      <c r="BN6" s="1">
        <f t="shared" si="57"/>
        <v>0</v>
      </c>
      <c r="BO6" s="1">
        <f t="shared" si="58"/>
        <v>0</v>
      </c>
    </row>
    <row r="7" spans="1:67" x14ac:dyDescent="0.25">
      <c r="A7" s="1" t="s">
        <v>86</v>
      </c>
      <c r="B7" s="1" t="s">
        <v>87</v>
      </c>
      <c r="C7" s="1">
        <v>3600</v>
      </c>
      <c r="D7" s="1" t="s">
        <v>74</v>
      </c>
      <c r="E7" s="1">
        <v>3600</v>
      </c>
      <c r="F7" s="1" t="s">
        <v>88</v>
      </c>
      <c r="G7" s="1" t="str">
        <f t="shared" si="59"/>
        <v>CEAS-421</v>
      </c>
      <c r="H7" s="1">
        <f t="shared" si="0"/>
        <v>0</v>
      </c>
      <c r="I7" s="1">
        <f t="shared" si="1"/>
        <v>0</v>
      </c>
      <c r="J7" s="1">
        <f t="shared" si="60"/>
        <v>0</v>
      </c>
      <c r="K7" s="1">
        <f t="shared" si="2"/>
        <v>0</v>
      </c>
      <c r="L7" s="1">
        <f t="shared" si="3"/>
        <v>0</v>
      </c>
      <c r="M7" s="1">
        <f t="shared" si="4"/>
        <v>0</v>
      </c>
      <c r="N7" s="1">
        <f t="shared" si="5"/>
        <v>0</v>
      </c>
      <c r="O7" s="1">
        <f t="shared" si="6"/>
        <v>0</v>
      </c>
      <c r="P7" s="1">
        <f t="shared" si="7"/>
        <v>0</v>
      </c>
      <c r="Q7" s="1">
        <f t="shared" si="8"/>
        <v>0</v>
      </c>
      <c r="R7" s="1">
        <f t="shared" si="9"/>
        <v>0</v>
      </c>
      <c r="S7" s="1">
        <f t="shared" si="10"/>
        <v>0</v>
      </c>
      <c r="T7" s="1">
        <f t="shared" si="11"/>
        <v>0</v>
      </c>
      <c r="U7" s="1">
        <f t="shared" si="12"/>
        <v>0</v>
      </c>
      <c r="V7" s="1">
        <f t="shared" si="13"/>
        <v>0</v>
      </c>
      <c r="W7" s="1">
        <f t="shared" si="14"/>
        <v>0</v>
      </c>
      <c r="X7" s="1">
        <f t="shared" si="15"/>
        <v>0</v>
      </c>
      <c r="Y7" s="1">
        <f t="shared" si="16"/>
        <v>0</v>
      </c>
      <c r="Z7" s="1">
        <f t="shared" si="17"/>
        <v>0</v>
      </c>
      <c r="AA7" s="1">
        <f t="shared" si="18"/>
        <v>0</v>
      </c>
      <c r="AB7" s="1">
        <f t="shared" si="19"/>
        <v>0</v>
      </c>
      <c r="AC7" s="1">
        <f t="shared" si="20"/>
        <v>0</v>
      </c>
      <c r="AD7" s="1">
        <f t="shared" si="21"/>
        <v>0</v>
      </c>
      <c r="AE7" s="1">
        <f t="shared" si="22"/>
        <v>0</v>
      </c>
      <c r="AF7" s="1">
        <f t="shared" si="23"/>
        <v>0</v>
      </c>
      <c r="AG7" s="1">
        <f t="shared" si="24"/>
        <v>0</v>
      </c>
      <c r="AH7" s="1">
        <f t="shared" si="25"/>
        <v>0</v>
      </c>
      <c r="AI7" s="1">
        <f t="shared" si="26"/>
        <v>0</v>
      </c>
      <c r="AJ7" s="1">
        <f t="shared" si="27"/>
        <v>0</v>
      </c>
      <c r="AK7" s="1">
        <f t="shared" si="28"/>
        <v>0</v>
      </c>
      <c r="AL7" s="1">
        <f t="shared" si="29"/>
        <v>0</v>
      </c>
      <c r="AM7" s="1">
        <f t="shared" si="30"/>
        <v>0</v>
      </c>
      <c r="AN7" s="1">
        <f t="shared" si="31"/>
        <v>0</v>
      </c>
      <c r="AO7" s="1">
        <f t="shared" si="32"/>
        <v>0</v>
      </c>
      <c r="AP7" s="1">
        <f t="shared" si="33"/>
        <v>0</v>
      </c>
      <c r="AQ7" s="1">
        <f t="shared" si="34"/>
        <v>0</v>
      </c>
      <c r="AR7" s="1">
        <f t="shared" si="35"/>
        <v>0</v>
      </c>
      <c r="AS7" s="1">
        <f t="shared" si="36"/>
        <v>0</v>
      </c>
      <c r="AT7" s="1">
        <f t="shared" si="37"/>
        <v>0</v>
      </c>
      <c r="AU7" s="1">
        <f t="shared" si="38"/>
        <v>0</v>
      </c>
      <c r="AV7" s="1">
        <f t="shared" si="39"/>
        <v>0</v>
      </c>
      <c r="AW7" s="1">
        <f t="shared" si="40"/>
        <v>0</v>
      </c>
      <c r="AX7" s="1">
        <f t="shared" si="41"/>
        <v>0</v>
      </c>
      <c r="AY7" s="1">
        <f t="shared" si="42"/>
        <v>0</v>
      </c>
      <c r="AZ7" s="1">
        <f t="shared" si="43"/>
        <v>0</v>
      </c>
      <c r="BA7" s="1">
        <f t="shared" si="44"/>
        <v>0</v>
      </c>
      <c r="BB7" s="1">
        <f t="shared" si="45"/>
        <v>0</v>
      </c>
      <c r="BC7" s="1">
        <f t="shared" si="46"/>
        <v>0</v>
      </c>
      <c r="BD7" s="1">
        <f t="shared" si="47"/>
        <v>0</v>
      </c>
      <c r="BE7" s="1">
        <f t="shared" si="48"/>
        <v>0</v>
      </c>
      <c r="BF7" s="1">
        <f t="shared" si="49"/>
        <v>0</v>
      </c>
      <c r="BG7" s="1">
        <f t="shared" si="50"/>
        <v>0</v>
      </c>
      <c r="BH7" s="1">
        <f t="shared" si="51"/>
        <v>0</v>
      </c>
      <c r="BI7" s="1">
        <f t="shared" si="52"/>
        <v>0</v>
      </c>
      <c r="BJ7" s="1">
        <f t="shared" si="53"/>
        <v>0</v>
      </c>
      <c r="BK7" s="1">
        <f t="shared" si="54"/>
        <v>0</v>
      </c>
      <c r="BL7" s="1">
        <f t="shared" si="55"/>
        <v>0</v>
      </c>
      <c r="BM7" s="1">
        <f t="shared" si="56"/>
        <v>0</v>
      </c>
      <c r="BN7" s="1">
        <f t="shared" si="57"/>
        <v>0</v>
      </c>
      <c r="BO7" s="1">
        <f t="shared" si="58"/>
        <v>0</v>
      </c>
    </row>
    <row r="8" spans="1:67" x14ac:dyDescent="0.25">
      <c r="A8" s="1" t="s">
        <v>89</v>
      </c>
      <c r="B8" s="1" t="s">
        <v>90</v>
      </c>
      <c r="C8" s="1">
        <v>3600</v>
      </c>
      <c r="D8" s="1" t="s">
        <v>74</v>
      </c>
      <c r="E8" s="1">
        <v>3600</v>
      </c>
      <c r="F8" s="1" t="s">
        <v>88</v>
      </c>
      <c r="G8" s="1" t="str">
        <f t="shared" si="59"/>
        <v>CEAS-421</v>
      </c>
      <c r="H8" s="1">
        <f t="shared" si="0"/>
        <v>0</v>
      </c>
      <c r="I8" s="1">
        <f t="shared" si="1"/>
        <v>0</v>
      </c>
      <c r="J8" s="1">
        <f t="shared" si="60"/>
        <v>0</v>
      </c>
      <c r="K8" s="1">
        <f t="shared" si="2"/>
        <v>0</v>
      </c>
      <c r="L8" s="1">
        <f t="shared" si="3"/>
        <v>0</v>
      </c>
      <c r="M8" s="1">
        <f t="shared" si="4"/>
        <v>0</v>
      </c>
      <c r="N8" s="1">
        <f t="shared" si="5"/>
        <v>0</v>
      </c>
      <c r="O8" s="1">
        <f t="shared" si="6"/>
        <v>0</v>
      </c>
      <c r="P8" s="1">
        <f t="shared" si="7"/>
        <v>0</v>
      </c>
      <c r="Q8" s="1">
        <f t="shared" si="8"/>
        <v>0</v>
      </c>
      <c r="R8" s="1">
        <f t="shared" si="9"/>
        <v>0</v>
      </c>
      <c r="S8" s="1">
        <f t="shared" si="10"/>
        <v>0</v>
      </c>
      <c r="T8" s="1">
        <f t="shared" si="11"/>
        <v>0</v>
      </c>
      <c r="U8" s="1">
        <f t="shared" si="12"/>
        <v>0</v>
      </c>
      <c r="V8" s="1">
        <f t="shared" si="13"/>
        <v>0</v>
      </c>
      <c r="W8" s="1">
        <f t="shared" si="14"/>
        <v>0</v>
      </c>
      <c r="X8" s="1">
        <f t="shared" si="15"/>
        <v>0</v>
      </c>
      <c r="Y8" s="1">
        <f t="shared" si="16"/>
        <v>0</v>
      </c>
      <c r="Z8" s="1">
        <f t="shared" si="17"/>
        <v>0</v>
      </c>
      <c r="AA8" s="1">
        <f t="shared" si="18"/>
        <v>0</v>
      </c>
      <c r="AB8" s="1">
        <f t="shared" si="19"/>
        <v>0</v>
      </c>
      <c r="AC8" s="1">
        <f t="shared" si="20"/>
        <v>0</v>
      </c>
      <c r="AD8" s="1">
        <f t="shared" si="21"/>
        <v>0</v>
      </c>
      <c r="AE8" s="1">
        <f t="shared" si="22"/>
        <v>0</v>
      </c>
      <c r="AF8" s="1">
        <f t="shared" si="23"/>
        <v>0</v>
      </c>
      <c r="AG8" s="1">
        <f t="shared" si="24"/>
        <v>0</v>
      </c>
      <c r="AH8" s="1">
        <f t="shared" si="25"/>
        <v>0</v>
      </c>
      <c r="AI8" s="1">
        <f t="shared" si="26"/>
        <v>3.6</v>
      </c>
      <c r="AJ8" s="1">
        <f t="shared" si="27"/>
        <v>3.6</v>
      </c>
      <c r="AK8" s="1">
        <f t="shared" si="28"/>
        <v>0</v>
      </c>
      <c r="AL8" s="1">
        <f t="shared" si="29"/>
        <v>3.6</v>
      </c>
      <c r="AM8" s="1">
        <f t="shared" si="30"/>
        <v>3.6</v>
      </c>
      <c r="AN8" s="1">
        <f t="shared" si="31"/>
        <v>0</v>
      </c>
      <c r="AO8" s="1">
        <f t="shared" si="32"/>
        <v>3.6</v>
      </c>
      <c r="AP8" s="1">
        <f t="shared" si="33"/>
        <v>3.6</v>
      </c>
      <c r="AQ8" s="1">
        <f t="shared" si="34"/>
        <v>0</v>
      </c>
      <c r="AR8" s="1">
        <f t="shared" si="35"/>
        <v>0</v>
      </c>
      <c r="AS8" s="1">
        <f t="shared" si="36"/>
        <v>0</v>
      </c>
      <c r="AT8" s="1">
        <f t="shared" si="37"/>
        <v>0</v>
      </c>
      <c r="AU8" s="1">
        <f t="shared" si="38"/>
        <v>0</v>
      </c>
      <c r="AV8" s="1">
        <f t="shared" si="39"/>
        <v>0</v>
      </c>
      <c r="AW8" s="1">
        <f t="shared" si="40"/>
        <v>0</v>
      </c>
      <c r="AX8" s="1">
        <f t="shared" si="41"/>
        <v>0</v>
      </c>
      <c r="AY8" s="1">
        <f t="shared" si="42"/>
        <v>0</v>
      </c>
      <c r="AZ8" s="1">
        <f t="shared" si="43"/>
        <v>0</v>
      </c>
      <c r="BA8" s="1">
        <f t="shared" si="44"/>
        <v>0</v>
      </c>
      <c r="BB8" s="1">
        <f t="shared" si="45"/>
        <v>0</v>
      </c>
      <c r="BC8" s="1">
        <f t="shared" si="46"/>
        <v>0</v>
      </c>
      <c r="BD8" s="1">
        <f t="shared" si="47"/>
        <v>0</v>
      </c>
      <c r="BE8" s="1">
        <f t="shared" si="48"/>
        <v>0</v>
      </c>
      <c r="BF8" s="1">
        <f t="shared" si="49"/>
        <v>0</v>
      </c>
      <c r="BG8" s="1">
        <f t="shared" si="50"/>
        <v>0</v>
      </c>
      <c r="BH8" s="1">
        <f t="shared" si="51"/>
        <v>0</v>
      </c>
      <c r="BI8" s="1">
        <f t="shared" si="52"/>
        <v>0</v>
      </c>
      <c r="BJ8" s="1">
        <f t="shared" si="53"/>
        <v>0</v>
      </c>
      <c r="BK8" s="1">
        <f t="shared" si="54"/>
        <v>0</v>
      </c>
      <c r="BL8" s="1">
        <f t="shared" si="55"/>
        <v>0</v>
      </c>
      <c r="BM8" s="1">
        <f t="shared" si="56"/>
        <v>0</v>
      </c>
      <c r="BN8" s="1">
        <f t="shared" si="57"/>
        <v>0</v>
      </c>
      <c r="BO8" s="1">
        <f t="shared" si="58"/>
        <v>0</v>
      </c>
    </row>
    <row r="9" spans="1:67" x14ac:dyDescent="0.25">
      <c r="A9" s="1" t="s">
        <v>91</v>
      </c>
      <c r="B9" s="1" t="s">
        <v>92</v>
      </c>
      <c r="C9" s="1">
        <v>3600</v>
      </c>
      <c r="D9" s="1" t="s">
        <v>74</v>
      </c>
      <c r="E9" s="1">
        <v>0</v>
      </c>
      <c r="F9" s="1" t="s">
        <v>88</v>
      </c>
      <c r="G9" s="1" t="str">
        <f t="shared" si="59"/>
        <v>CEAS-421</v>
      </c>
      <c r="H9" s="1">
        <f t="shared" si="0"/>
        <v>0</v>
      </c>
      <c r="I9" s="1">
        <f t="shared" si="1"/>
        <v>0</v>
      </c>
      <c r="J9" s="1">
        <f t="shared" si="60"/>
        <v>0</v>
      </c>
      <c r="K9" s="1">
        <f t="shared" si="2"/>
        <v>0</v>
      </c>
      <c r="L9" s="1">
        <f t="shared" si="3"/>
        <v>0</v>
      </c>
      <c r="M9" s="1">
        <f t="shared" si="4"/>
        <v>0</v>
      </c>
      <c r="N9" s="1">
        <f t="shared" si="5"/>
        <v>0</v>
      </c>
      <c r="O9" s="1">
        <f t="shared" si="6"/>
        <v>0</v>
      </c>
      <c r="P9" s="1">
        <f t="shared" si="7"/>
        <v>0</v>
      </c>
      <c r="Q9" s="1">
        <f t="shared" si="8"/>
        <v>0</v>
      </c>
      <c r="R9" s="1">
        <f t="shared" si="9"/>
        <v>0</v>
      </c>
      <c r="S9" s="1">
        <f t="shared" si="10"/>
        <v>0</v>
      </c>
      <c r="T9" s="1">
        <f t="shared" si="11"/>
        <v>0</v>
      </c>
      <c r="U9" s="1">
        <f t="shared" si="12"/>
        <v>0</v>
      </c>
      <c r="V9" s="1">
        <f t="shared" si="13"/>
        <v>0</v>
      </c>
      <c r="W9" s="1">
        <f t="shared" si="14"/>
        <v>0</v>
      </c>
      <c r="X9" s="1">
        <f t="shared" si="15"/>
        <v>0</v>
      </c>
      <c r="Y9" s="1">
        <f t="shared" si="16"/>
        <v>0</v>
      </c>
      <c r="Z9" s="1">
        <f t="shared" si="17"/>
        <v>0</v>
      </c>
      <c r="AA9" s="1">
        <f t="shared" si="18"/>
        <v>0</v>
      </c>
      <c r="AB9" s="1">
        <f t="shared" si="19"/>
        <v>0</v>
      </c>
      <c r="AC9" s="1">
        <f t="shared" si="20"/>
        <v>0</v>
      </c>
      <c r="AD9" s="1">
        <f t="shared" si="21"/>
        <v>0</v>
      </c>
      <c r="AE9" s="1">
        <f t="shared" si="22"/>
        <v>0</v>
      </c>
      <c r="AF9" s="1">
        <f t="shared" si="23"/>
        <v>0</v>
      </c>
      <c r="AG9" s="1">
        <f t="shared" si="24"/>
        <v>0</v>
      </c>
      <c r="AH9" s="1">
        <f t="shared" si="25"/>
        <v>0</v>
      </c>
      <c r="AI9" s="1">
        <f t="shared" si="26"/>
        <v>0</v>
      </c>
      <c r="AJ9" s="1">
        <f t="shared" si="27"/>
        <v>0</v>
      </c>
      <c r="AK9" s="1">
        <f t="shared" si="28"/>
        <v>0</v>
      </c>
      <c r="AL9" s="1">
        <f t="shared" si="29"/>
        <v>0</v>
      </c>
      <c r="AM9" s="1">
        <f t="shared" si="30"/>
        <v>0</v>
      </c>
      <c r="AN9" s="1">
        <f t="shared" si="31"/>
        <v>0</v>
      </c>
      <c r="AO9" s="1">
        <f t="shared" si="32"/>
        <v>0</v>
      </c>
      <c r="AP9" s="1">
        <f t="shared" si="33"/>
        <v>0</v>
      </c>
      <c r="AQ9" s="1">
        <f t="shared" si="34"/>
        <v>0</v>
      </c>
      <c r="AR9" s="1">
        <f t="shared" si="35"/>
        <v>0</v>
      </c>
      <c r="AS9" s="1">
        <f t="shared" si="36"/>
        <v>0</v>
      </c>
      <c r="AT9" s="1">
        <f t="shared" si="37"/>
        <v>0</v>
      </c>
      <c r="AU9" s="1">
        <f t="shared" si="38"/>
        <v>0</v>
      </c>
      <c r="AV9" s="1">
        <f t="shared" si="39"/>
        <v>0</v>
      </c>
      <c r="AW9" s="1">
        <f t="shared" si="40"/>
        <v>0</v>
      </c>
      <c r="AX9" s="1">
        <f t="shared" si="41"/>
        <v>0</v>
      </c>
      <c r="AY9" s="1">
        <f t="shared" si="42"/>
        <v>0</v>
      </c>
      <c r="AZ9" s="1">
        <f t="shared" si="43"/>
        <v>0</v>
      </c>
      <c r="BA9" s="1">
        <f t="shared" si="44"/>
        <v>0</v>
      </c>
      <c r="BB9" s="1">
        <f t="shared" si="45"/>
        <v>0</v>
      </c>
      <c r="BC9" s="1">
        <f t="shared" si="46"/>
        <v>0</v>
      </c>
      <c r="BD9" s="1">
        <f t="shared" si="47"/>
        <v>0</v>
      </c>
      <c r="BE9" s="1">
        <f t="shared" si="48"/>
        <v>0</v>
      </c>
      <c r="BF9" s="1">
        <f t="shared" si="49"/>
        <v>0</v>
      </c>
      <c r="BG9" s="1">
        <f t="shared" si="50"/>
        <v>0</v>
      </c>
      <c r="BH9" s="1">
        <f t="shared" si="51"/>
        <v>0</v>
      </c>
      <c r="BI9" s="1">
        <f t="shared" si="52"/>
        <v>0</v>
      </c>
      <c r="BJ9" s="1">
        <f t="shared" si="53"/>
        <v>0</v>
      </c>
      <c r="BK9" s="1">
        <f t="shared" si="54"/>
        <v>0</v>
      </c>
      <c r="BL9" s="1">
        <f t="shared" si="55"/>
        <v>0</v>
      </c>
      <c r="BM9" s="1">
        <f t="shared" si="56"/>
        <v>0</v>
      </c>
      <c r="BN9" s="1">
        <f t="shared" si="57"/>
        <v>0</v>
      </c>
      <c r="BO9" s="1">
        <f t="shared" si="58"/>
        <v>0</v>
      </c>
    </row>
    <row r="10" spans="1:67" x14ac:dyDescent="0.25">
      <c r="A10" s="1" t="s">
        <v>93</v>
      </c>
      <c r="B10" s="1" t="s">
        <v>94</v>
      </c>
      <c r="C10" s="1">
        <v>3600</v>
      </c>
      <c r="D10" s="1" t="s">
        <v>74</v>
      </c>
      <c r="E10" s="1">
        <v>3600</v>
      </c>
      <c r="F10" s="1" t="s">
        <v>88</v>
      </c>
      <c r="G10" s="1" t="str">
        <f t="shared" si="59"/>
        <v>CEAS-421</v>
      </c>
      <c r="H10" s="1">
        <f t="shared" si="0"/>
        <v>0</v>
      </c>
      <c r="I10" s="1">
        <f t="shared" si="1"/>
        <v>0</v>
      </c>
      <c r="J10" s="1">
        <f t="shared" si="60"/>
        <v>0</v>
      </c>
      <c r="K10" s="1">
        <f t="shared" si="2"/>
        <v>0</v>
      </c>
      <c r="L10" s="1">
        <f t="shared" si="3"/>
        <v>0</v>
      </c>
      <c r="M10" s="1">
        <f t="shared" si="4"/>
        <v>0</v>
      </c>
      <c r="N10" s="1">
        <f t="shared" si="5"/>
        <v>0</v>
      </c>
      <c r="O10" s="1">
        <f t="shared" si="6"/>
        <v>0</v>
      </c>
      <c r="P10" s="1">
        <f t="shared" si="7"/>
        <v>0</v>
      </c>
      <c r="Q10" s="1">
        <f t="shared" si="8"/>
        <v>0</v>
      </c>
      <c r="R10" s="1">
        <f t="shared" si="9"/>
        <v>0</v>
      </c>
      <c r="S10" s="1">
        <f t="shared" si="10"/>
        <v>0</v>
      </c>
      <c r="T10" s="1">
        <f t="shared" si="11"/>
        <v>0</v>
      </c>
      <c r="U10" s="1">
        <f t="shared" si="12"/>
        <v>0</v>
      </c>
      <c r="V10" s="1">
        <f t="shared" si="13"/>
        <v>0</v>
      </c>
      <c r="W10" s="1">
        <f t="shared" si="14"/>
        <v>0</v>
      </c>
      <c r="X10" s="1">
        <f t="shared" si="15"/>
        <v>0</v>
      </c>
      <c r="Y10" s="1">
        <f t="shared" si="16"/>
        <v>0</v>
      </c>
      <c r="Z10" s="1">
        <f t="shared" si="17"/>
        <v>0</v>
      </c>
      <c r="AA10" s="1">
        <f t="shared" si="18"/>
        <v>0</v>
      </c>
      <c r="AB10" s="1">
        <f t="shared" si="19"/>
        <v>0</v>
      </c>
      <c r="AC10" s="1">
        <f t="shared" si="20"/>
        <v>0</v>
      </c>
      <c r="AD10" s="1">
        <f t="shared" si="21"/>
        <v>0</v>
      </c>
      <c r="AE10" s="1">
        <f t="shared" si="22"/>
        <v>0</v>
      </c>
      <c r="AF10" s="1">
        <f t="shared" si="23"/>
        <v>3.6</v>
      </c>
      <c r="AG10" s="1">
        <f t="shared" si="24"/>
        <v>3.6</v>
      </c>
      <c r="AH10" s="1">
        <f t="shared" si="25"/>
        <v>0</v>
      </c>
      <c r="AI10" s="1">
        <f t="shared" si="26"/>
        <v>0</v>
      </c>
      <c r="AJ10" s="1">
        <f t="shared" si="27"/>
        <v>0</v>
      </c>
      <c r="AK10" s="1">
        <f t="shared" si="28"/>
        <v>0</v>
      </c>
      <c r="AL10" s="1">
        <f t="shared" si="29"/>
        <v>0</v>
      </c>
      <c r="AM10" s="1">
        <f t="shared" si="30"/>
        <v>0</v>
      </c>
      <c r="AN10" s="1">
        <f t="shared" si="31"/>
        <v>0</v>
      </c>
      <c r="AO10" s="1">
        <f t="shared" si="32"/>
        <v>0</v>
      </c>
      <c r="AP10" s="1">
        <f t="shared" si="33"/>
        <v>0</v>
      </c>
      <c r="AQ10" s="1">
        <f t="shared" si="34"/>
        <v>0</v>
      </c>
      <c r="AR10" s="1">
        <f t="shared" si="35"/>
        <v>0</v>
      </c>
      <c r="AS10" s="1">
        <f t="shared" si="36"/>
        <v>0</v>
      </c>
      <c r="AT10" s="1">
        <f t="shared" si="37"/>
        <v>0</v>
      </c>
      <c r="AU10" s="1">
        <f t="shared" si="38"/>
        <v>0</v>
      </c>
      <c r="AV10" s="1">
        <f t="shared" si="39"/>
        <v>0</v>
      </c>
      <c r="AW10" s="1">
        <f t="shared" si="40"/>
        <v>0</v>
      </c>
      <c r="AX10" s="1">
        <f t="shared" si="41"/>
        <v>0</v>
      </c>
      <c r="AY10" s="1">
        <f t="shared" si="42"/>
        <v>0</v>
      </c>
      <c r="AZ10" s="1">
        <f t="shared" si="43"/>
        <v>0</v>
      </c>
      <c r="BA10" s="1">
        <f t="shared" si="44"/>
        <v>0</v>
      </c>
      <c r="BB10" s="1">
        <f t="shared" si="45"/>
        <v>0</v>
      </c>
      <c r="BC10" s="1">
        <f t="shared" si="46"/>
        <v>0</v>
      </c>
      <c r="BD10" s="1">
        <f t="shared" si="47"/>
        <v>0</v>
      </c>
      <c r="BE10" s="1">
        <f t="shared" si="48"/>
        <v>0</v>
      </c>
      <c r="BF10" s="1">
        <f t="shared" si="49"/>
        <v>0</v>
      </c>
      <c r="BG10" s="1">
        <f t="shared" si="50"/>
        <v>0</v>
      </c>
      <c r="BH10" s="1">
        <f t="shared" si="51"/>
        <v>0</v>
      </c>
      <c r="BI10" s="1">
        <f t="shared" si="52"/>
        <v>0</v>
      </c>
      <c r="BJ10" s="1">
        <f t="shared" si="53"/>
        <v>0</v>
      </c>
      <c r="BK10" s="1">
        <f t="shared" si="54"/>
        <v>0</v>
      </c>
      <c r="BL10" s="1">
        <f t="shared" si="55"/>
        <v>0</v>
      </c>
      <c r="BM10" s="1">
        <f t="shared" si="56"/>
        <v>0</v>
      </c>
      <c r="BN10" s="1">
        <f t="shared" si="57"/>
        <v>0</v>
      </c>
      <c r="BO10" s="1">
        <f t="shared" si="58"/>
        <v>0</v>
      </c>
    </row>
    <row r="11" spans="1:67" x14ac:dyDescent="0.25">
      <c r="A11" s="1" t="s">
        <v>95</v>
      </c>
      <c r="B11" s="1" t="s">
        <v>96</v>
      </c>
      <c r="C11" s="1">
        <v>10800</v>
      </c>
      <c r="D11" s="1" t="s">
        <v>74</v>
      </c>
      <c r="E11" s="1">
        <v>10800</v>
      </c>
      <c r="F11" s="1" t="s">
        <v>83</v>
      </c>
      <c r="G11" s="1" t="str">
        <f t="shared" si="59"/>
        <v>CEAS-421</v>
      </c>
      <c r="H11" s="1">
        <f t="shared" si="0"/>
        <v>0</v>
      </c>
      <c r="I11" s="1">
        <f t="shared" si="1"/>
        <v>0</v>
      </c>
      <c r="J11" s="1">
        <f t="shared" si="60"/>
        <v>0</v>
      </c>
      <c r="K11" s="1">
        <f t="shared" si="2"/>
        <v>0</v>
      </c>
      <c r="L11" s="1">
        <f t="shared" si="3"/>
        <v>0</v>
      </c>
      <c r="M11" s="1">
        <f t="shared" si="4"/>
        <v>0</v>
      </c>
      <c r="N11" s="1">
        <f t="shared" si="5"/>
        <v>0</v>
      </c>
      <c r="O11" s="1">
        <f t="shared" si="6"/>
        <v>0</v>
      </c>
      <c r="P11" s="1">
        <f t="shared" si="7"/>
        <v>0</v>
      </c>
      <c r="Q11" s="1">
        <f t="shared" si="8"/>
        <v>0</v>
      </c>
      <c r="R11" s="1">
        <f t="shared" si="9"/>
        <v>0</v>
      </c>
      <c r="S11" s="1">
        <f t="shared" si="10"/>
        <v>0</v>
      </c>
      <c r="T11" s="1">
        <f t="shared" si="11"/>
        <v>0</v>
      </c>
      <c r="U11" s="1">
        <f t="shared" si="12"/>
        <v>0</v>
      </c>
      <c r="V11" s="1">
        <f t="shared" si="13"/>
        <v>0</v>
      </c>
      <c r="W11" s="1">
        <f t="shared" si="14"/>
        <v>0</v>
      </c>
      <c r="X11" s="1">
        <f t="shared" si="15"/>
        <v>0</v>
      </c>
      <c r="Y11" s="1">
        <f t="shared" si="16"/>
        <v>0</v>
      </c>
      <c r="Z11" s="1">
        <f t="shared" si="17"/>
        <v>0</v>
      </c>
      <c r="AA11" s="1">
        <f t="shared" si="18"/>
        <v>0</v>
      </c>
      <c r="AB11" s="1">
        <f t="shared" si="19"/>
        <v>0</v>
      </c>
      <c r="AC11" s="1">
        <f t="shared" si="20"/>
        <v>10.8</v>
      </c>
      <c r="AD11" s="1">
        <f t="shared" si="21"/>
        <v>10.8</v>
      </c>
      <c r="AE11" s="1">
        <f t="shared" si="22"/>
        <v>0</v>
      </c>
      <c r="AF11" s="1">
        <f t="shared" si="23"/>
        <v>0</v>
      </c>
      <c r="AG11" s="1">
        <f t="shared" si="24"/>
        <v>0</v>
      </c>
      <c r="AH11" s="1">
        <f t="shared" si="25"/>
        <v>0</v>
      </c>
      <c r="AI11" s="1">
        <f t="shared" si="26"/>
        <v>0</v>
      </c>
      <c r="AJ11" s="1">
        <f t="shared" si="27"/>
        <v>0</v>
      </c>
      <c r="AK11" s="1">
        <f t="shared" si="28"/>
        <v>0</v>
      </c>
      <c r="AL11" s="1">
        <f t="shared" si="29"/>
        <v>0</v>
      </c>
      <c r="AM11" s="1">
        <f t="shared" si="30"/>
        <v>0</v>
      </c>
      <c r="AN11" s="1">
        <f t="shared" si="31"/>
        <v>0</v>
      </c>
      <c r="AO11" s="1">
        <f t="shared" si="32"/>
        <v>0</v>
      </c>
      <c r="AP11" s="1">
        <f t="shared" si="33"/>
        <v>0</v>
      </c>
      <c r="AQ11" s="1">
        <f t="shared" si="34"/>
        <v>0</v>
      </c>
      <c r="AR11" s="1">
        <f t="shared" si="35"/>
        <v>0</v>
      </c>
      <c r="AS11" s="1">
        <f t="shared" si="36"/>
        <v>0</v>
      </c>
      <c r="AT11" s="1">
        <f t="shared" si="37"/>
        <v>0</v>
      </c>
      <c r="AU11" s="1">
        <f t="shared" si="38"/>
        <v>0</v>
      </c>
      <c r="AV11" s="1">
        <f t="shared" si="39"/>
        <v>0</v>
      </c>
      <c r="AW11" s="1">
        <f t="shared" si="40"/>
        <v>0</v>
      </c>
      <c r="AX11" s="1">
        <f t="shared" si="41"/>
        <v>0</v>
      </c>
      <c r="AY11" s="1">
        <f t="shared" si="42"/>
        <v>0</v>
      </c>
      <c r="AZ11" s="1">
        <f t="shared" si="43"/>
        <v>0</v>
      </c>
      <c r="BA11" s="1">
        <f t="shared" si="44"/>
        <v>0</v>
      </c>
      <c r="BB11" s="1">
        <f t="shared" si="45"/>
        <v>0</v>
      </c>
      <c r="BC11" s="1">
        <f t="shared" si="46"/>
        <v>0</v>
      </c>
      <c r="BD11" s="1">
        <f t="shared" si="47"/>
        <v>0</v>
      </c>
      <c r="BE11" s="1">
        <f t="shared" si="48"/>
        <v>0</v>
      </c>
      <c r="BF11" s="1">
        <f t="shared" si="49"/>
        <v>0</v>
      </c>
      <c r="BG11" s="1">
        <f t="shared" si="50"/>
        <v>0</v>
      </c>
      <c r="BH11" s="1">
        <f t="shared" si="51"/>
        <v>0</v>
      </c>
      <c r="BI11" s="1">
        <f t="shared" si="52"/>
        <v>0</v>
      </c>
      <c r="BJ11" s="1">
        <f t="shared" si="53"/>
        <v>0</v>
      </c>
      <c r="BK11" s="1">
        <f t="shared" si="54"/>
        <v>0</v>
      </c>
      <c r="BL11" s="1">
        <f t="shared" si="55"/>
        <v>0</v>
      </c>
      <c r="BM11" s="1">
        <f t="shared" si="56"/>
        <v>0</v>
      </c>
      <c r="BN11" s="1">
        <f t="shared" si="57"/>
        <v>0</v>
      </c>
      <c r="BO11" s="1">
        <f t="shared" si="58"/>
        <v>0</v>
      </c>
    </row>
    <row r="12" spans="1:67" x14ac:dyDescent="0.25">
      <c r="A12" s="1" t="s">
        <v>97</v>
      </c>
      <c r="B12" s="1" t="s">
        <v>98</v>
      </c>
      <c r="C12" s="1">
        <v>57600</v>
      </c>
      <c r="D12" s="1" t="s">
        <v>74</v>
      </c>
      <c r="E12" s="1">
        <v>57600</v>
      </c>
      <c r="F12" s="1" t="s">
        <v>88</v>
      </c>
      <c r="G12" s="1" t="str">
        <f t="shared" si="59"/>
        <v>CEAS-421</v>
      </c>
      <c r="H12" s="1">
        <f t="shared" si="0"/>
        <v>57.6</v>
      </c>
      <c r="I12" s="1">
        <f t="shared" si="1"/>
        <v>57.6</v>
      </c>
      <c r="J12" s="1">
        <f t="shared" si="60"/>
        <v>0</v>
      </c>
      <c r="K12" s="1">
        <f t="shared" si="2"/>
        <v>0</v>
      </c>
      <c r="L12" s="1">
        <f t="shared" si="3"/>
        <v>0</v>
      </c>
      <c r="M12" s="1">
        <f t="shared" si="4"/>
        <v>0</v>
      </c>
      <c r="N12" s="1">
        <f t="shared" si="5"/>
        <v>0</v>
      </c>
      <c r="O12" s="1">
        <f t="shared" si="6"/>
        <v>0</v>
      </c>
      <c r="P12" s="1">
        <f t="shared" si="7"/>
        <v>0</v>
      </c>
      <c r="Q12" s="1">
        <f t="shared" si="8"/>
        <v>0</v>
      </c>
      <c r="R12" s="1">
        <f t="shared" si="9"/>
        <v>0</v>
      </c>
      <c r="S12" s="1">
        <f t="shared" si="10"/>
        <v>0</v>
      </c>
      <c r="T12" s="1">
        <f t="shared" si="11"/>
        <v>0</v>
      </c>
      <c r="U12" s="1">
        <f t="shared" si="12"/>
        <v>0</v>
      </c>
      <c r="V12" s="1">
        <f t="shared" si="13"/>
        <v>0</v>
      </c>
      <c r="W12" s="1">
        <f t="shared" si="14"/>
        <v>0</v>
      </c>
      <c r="X12" s="1">
        <f t="shared" si="15"/>
        <v>0</v>
      </c>
      <c r="Y12" s="1">
        <f t="shared" si="16"/>
        <v>0</v>
      </c>
      <c r="Z12" s="1">
        <f t="shared" si="17"/>
        <v>0</v>
      </c>
      <c r="AA12" s="1">
        <f t="shared" si="18"/>
        <v>0</v>
      </c>
      <c r="AB12" s="1">
        <f t="shared" si="19"/>
        <v>0</v>
      </c>
      <c r="AC12" s="1">
        <f t="shared" si="20"/>
        <v>0</v>
      </c>
      <c r="AD12" s="1">
        <f t="shared" si="21"/>
        <v>0</v>
      </c>
      <c r="AE12" s="1">
        <f t="shared" si="22"/>
        <v>0</v>
      </c>
      <c r="AF12" s="1">
        <f t="shared" si="23"/>
        <v>0</v>
      </c>
      <c r="AG12" s="1">
        <f t="shared" si="24"/>
        <v>0</v>
      </c>
      <c r="AH12" s="1">
        <f t="shared" si="25"/>
        <v>0</v>
      </c>
      <c r="AI12" s="1">
        <f t="shared" si="26"/>
        <v>0</v>
      </c>
      <c r="AJ12" s="1">
        <f t="shared" si="27"/>
        <v>0</v>
      </c>
      <c r="AK12" s="1">
        <f t="shared" si="28"/>
        <v>0</v>
      </c>
      <c r="AL12" s="1">
        <f t="shared" si="29"/>
        <v>0</v>
      </c>
      <c r="AM12" s="1">
        <f t="shared" si="30"/>
        <v>0</v>
      </c>
      <c r="AN12" s="1">
        <f t="shared" si="31"/>
        <v>0</v>
      </c>
      <c r="AO12" s="1">
        <f t="shared" si="32"/>
        <v>0</v>
      </c>
      <c r="AP12" s="1">
        <f t="shared" si="33"/>
        <v>0</v>
      </c>
      <c r="AQ12" s="1">
        <f t="shared" si="34"/>
        <v>0</v>
      </c>
      <c r="AR12" s="1">
        <f t="shared" si="35"/>
        <v>0</v>
      </c>
      <c r="AS12" s="1">
        <f t="shared" si="36"/>
        <v>0</v>
      </c>
      <c r="AT12" s="1">
        <f t="shared" si="37"/>
        <v>0</v>
      </c>
      <c r="AU12" s="1">
        <f t="shared" si="38"/>
        <v>0</v>
      </c>
      <c r="AV12" s="1">
        <f t="shared" si="39"/>
        <v>0</v>
      </c>
      <c r="AW12" s="1">
        <f t="shared" si="40"/>
        <v>0</v>
      </c>
      <c r="AX12" s="1">
        <f t="shared" si="41"/>
        <v>0</v>
      </c>
      <c r="AY12" s="1">
        <f t="shared" si="42"/>
        <v>0</v>
      </c>
      <c r="AZ12" s="1">
        <f t="shared" si="43"/>
        <v>0</v>
      </c>
      <c r="BA12" s="1">
        <f t="shared" si="44"/>
        <v>0</v>
      </c>
      <c r="BB12" s="1">
        <f t="shared" si="45"/>
        <v>0</v>
      </c>
      <c r="BC12" s="1">
        <f t="shared" si="46"/>
        <v>0</v>
      </c>
      <c r="BD12" s="1">
        <f t="shared" si="47"/>
        <v>0</v>
      </c>
      <c r="BE12" s="1">
        <f t="shared" si="48"/>
        <v>0</v>
      </c>
      <c r="BF12" s="1">
        <f t="shared" si="49"/>
        <v>0</v>
      </c>
      <c r="BG12" s="1">
        <f t="shared" si="50"/>
        <v>0</v>
      </c>
      <c r="BH12" s="1">
        <f t="shared" si="51"/>
        <v>0</v>
      </c>
      <c r="BI12" s="1">
        <f t="shared" si="52"/>
        <v>0</v>
      </c>
      <c r="BJ12" s="1">
        <f t="shared" si="53"/>
        <v>0</v>
      </c>
      <c r="BK12" s="1">
        <f t="shared" si="54"/>
        <v>0</v>
      </c>
      <c r="BL12" s="1">
        <f t="shared" si="55"/>
        <v>0</v>
      </c>
      <c r="BM12" s="1">
        <f t="shared" si="56"/>
        <v>0</v>
      </c>
      <c r="BN12" s="1">
        <f t="shared" si="57"/>
        <v>0</v>
      </c>
      <c r="BO12" s="1">
        <f t="shared" si="58"/>
        <v>0</v>
      </c>
    </row>
    <row r="13" spans="1:67" x14ac:dyDescent="0.25">
      <c r="A13" s="1" t="s">
        <v>99</v>
      </c>
      <c r="B13" s="1" t="s">
        <v>100</v>
      </c>
      <c r="D13" s="1" t="s">
        <v>74</v>
      </c>
      <c r="F13" s="1" t="s">
        <v>101</v>
      </c>
      <c r="G13" s="1" t="str">
        <f t="shared" si="59"/>
        <v>CEAS-1232</v>
      </c>
      <c r="H13" s="1">
        <f t="shared" si="0"/>
        <v>0</v>
      </c>
      <c r="I13" s="1">
        <f t="shared" si="1"/>
        <v>0</v>
      </c>
      <c r="J13" s="1">
        <f t="shared" si="60"/>
        <v>0</v>
      </c>
      <c r="K13" s="1">
        <f t="shared" si="2"/>
        <v>0</v>
      </c>
      <c r="L13" s="1">
        <f t="shared" si="3"/>
        <v>0</v>
      </c>
      <c r="M13" s="1">
        <f t="shared" si="4"/>
        <v>0</v>
      </c>
      <c r="N13" s="1">
        <f t="shared" si="5"/>
        <v>0</v>
      </c>
      <c r="O13" s="1">
        <f t="shared" si="6"/>
        <v>0</v>
      </c>
      <c r="P13" s="1">
        <f t="shared" si="7"/>
        <v>0</v>
      </c>
      <c r="Q13" s="1">
        <f t="shared" si="8"/>
        <v>0</v>
      </c>
      <c r="R13" s="1">
        <f t="shared" si="9"/>
        <v>0</v>
      </c>
      <c r="S13" s="1">
        <f t="shared" si="10"/>
        <v>0</v>
      </c>
      <c r="T13" s="1">
        <f t="shared" si="11"/>
        <v>0</v>
      </c>
      <c r="U13" s="1">
        <f t="shared" si="12"/>
        <v>0</v>
      </c>
      <c r="V13" s="1">
        <f t="shared" si="13"/>
        <v>0</v>
      </c>
      <c r="W13" s="1">
        <f t="shared" si="14"/>
        <v>0</v>
      </c>
      <c r="X13" s="1">
        <f t="shared" si="15"/>
        <v>0</v>
      </c>
      <c r="Y13" s="1">
        <f t="shared" si="16"/>
        <v>0</v>
      </c>
      <c r="Z13" s="1">
        <f t="shared" si="17"/>
        <v>0</v>
      </c>
      <c r="AA13" s="1">
        <f t="shared" si="18"/>
        <v>0</v>
      </c>
      <c r="AB13" s="1">
        <f t="shared" si="19"/>
        <v>0</v>
      </c>
      <c r="AC13" s="1">
        <f t="shared" si="20"/>
        <v>0</v>
      </c>
      <c r="AD13" s="1">
        <f t="shared" si="21"/>
        <v>0</v>
      </c>
      <c r="AE13" s="1">
        <f t="shared" si="22"/>
        <v>0</v>
      </c>
      <c r="AF13" s="1">
        <f t="shared" si="23"/>
        <v>0</v>
      </c>
      <c r="AG13" s="1">
        <f t="shared" si="24"/>
        <v>0</v>
      </c>
      <c r="AH13" s="1">
        <f t="shared" si="25"/>
        <v>0</v>
      </c>
      <c r="AI13" s="1">
        <f t="shared" si="26"/>
        <v>0</v>
      </c>
      <c r="AJ13" s="1">
        <f t="shared" si="27"/>
        <v>0</v>
      </c>
      <c r="AK13" s="1">
        <f t="shared" si="28"/>
        <v>0</v>
      </c>
      <c r="AL13" s="1">
        <f t="shared" si="29"/>
        <v>0</v>
      </c>
      <c r="AM13" s="1">
        <f t="shared" si="30"/>
        <v>0</v>
      </c>
      <c r="AN13" s="1">
        <f t="shared" si="31"/>
        <v>0</v>
      </c>
      <c r="AO13" s="1">
        <f t="shared" si="32"/>
        <v>0</v>
      </c>
      <c r="AP13" s="1">
        <f t="shared" si="33"/>
        <v>0</v>
      </c>
      <c r="AQ13" s="1">
        <f t="shared" si="34"/>
        <v>0</v>
      </c>
      <c r="AR13" s="1">
        <f t="shared" si="35"/>
        <v>0</v>
      </c>
      <c r="AS13" s="1">
        <f t="shared" si="36"/>
        <v>0</v>
      </c>
      <c r="AT13" s="1">
        <f t="shared" si="37"/>
        <v>0</v>
      </c>
      <c r="AU13" s="1">
        <f t="shared" si="38"/>
        <v>0</v>
      </c>
      <c r="AV13" s="1">
        <f t="shared" si="39"/>
        <v>0</v>
      </c>
      <c r="AW13" s="1">
        <f t="shared" si="40"/>
        <v>0</v>
      </c>
      <c r="AX13" s="1">
        <f t="shared" si="41"/>
        <v>0</v>
      </c>
      <c r="AY13" s="1">
        <f t="shared" si="42"/>
        <v>0</v>
      </c>
      <c r="AZ13" s="1">
        <f t="shared" si="43"/>
        <v>0</v>
      </c>
      <c r="BA13" s="1">
        <f t="shared" si="44"/>
        <v>0</v>
      </c>
      <c r="BB13" s="1">
        <f t="shared" si="45"/>
        <v>0</v>
      </c>
      <c r="BC13" s="1">
        <f t="shared" si="46"/>
        <v>0</v>
      </c>
      <c r="BD13" s="1">
        <f t="shared" si="47"/>
        <v>0</v>
      </c>
      <c r="BE13" s="1">
        <f t="shared" si="48"/>
        <v>0</v>
      </c>
      <c r="BF13" s="1">
        <f t="shared" si="49"/>
        <v>0</v>
      </c>
      <c r="BG13" s="1">
        <f t="shared" si="50"/>
        <v>0</v>
      </c>
      <c r="BH13" s="1">
        <f t="shared" si="51"/>
        <v>0</v>
      </c>
      <c r="BI13" s="1">
        <f t="shared" si="52"/>
        <v>0</v>
      </c>
      <c r="BJ13" s="1">
        <f t="shared" si="53"/>
        <v>0</v>
      </c>
      <c r="BK13" s="1">
        <f t="shared" si="54"/>
        <v>0</v>
      </c>
      <c r="BL13" s="1">
        <f t="shared" si="55"/>
        <v>0</v>
      </c>
      <c r="BM13" s="1">
        <f t="shared" si="56"/>
        <v>0</v>
      </c>
      <c r="BN13" s="1">
        <f t="shared" si="57"/>
        <v>0</v>
      </c>
      <c r="BO13" s="1">
        <f t="shared" si="58"/>
        <v>0</v>
      </c>
    </row>
    <row r="14" spans="1:67" x14ac:dyDescent="0.25">
      <c r="A14" s="15"/>
      <c r="B14" s="15"/>
      <c r="C14" s="15"/>
      <c r="D14" s="15"/>
      <c r="E14" s="15"/>
      <c r="F14" s="15"/>
      <c r="G14" s="15"/>
      <c r="H14" s="15">
        <f>SUBTOTAL(109,Table2[Expected-Technical Design])</f>
        <v>63</v>
      </c>
      <c r="I14" s="15">
        <f>SUBTOTAL(109,Table2[Actual-Technical Design])</f>
        <v>57.6</v>
      </c>
      <c r="J14" s="15">
        <f>SUBTOTAL(109,Table2[Gap-Technical Design])</f>
        <v>5.4</v>
      </c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</row>
  </sheetData>
  <pageMargins left="0.75" right="0.75" top="1" bottom="1" header="0.5" footer="0.5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Status</vt:lpstr>
      <vt:lpstr>Subtasks Hours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Rodriguez, Ray</dc:creator>
  <cp:lastModifiedBy>Rodriguez, Ray</cp:lastModifiedBy>
  <dcterms:created xsi:type="dcterms:W3CDTF">2018-11-07T02:26:55Z</dcterms:created>
  <dcterms:modified xsi:type="dcterms:W3CDTF">2019-03-26T21:16:25Z</dcterms:modified>
</cp:coreProperties>
</file>